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rlesdarwinuni-my.sharepoint.com/personal/dylan_irvine_cdu_edu_au/Documents/Projects/Ti_Tree/Bores/GroundwaterHeads_20250718/"/>
    </mc:Choice>
  </mc:AlternateContent>
  <xr:revisionPtr revIDLastSave="7" documentId="8_{EAA884B2-5192-43FF-9853-21FA1D191AB4}" xr6:coauthVersionLast="47" xr6:coauthVersionMax="47" xr10:uidLastSave="{363604D4-49AE-4B75-AD7F-60E71E294C29}"/>
  <bookViews>
    <workbookView xWindow="28680" yWindow="-120" windowWidth="29040" windowHeight="15720" activeTab="1" xr2:uid="{FEA9E949-3A0B-4B05-8CCA-1101AE955C2E}"/>
  </bookViews>
  <sheets>
    <sheet name="Bores_w_wl_data" sheetId="1" r:id="rId1"/>
    <sheet name="Bores_Plott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B2" i="2"/>
</calcChain>
</file>

<file path=xl/sharedStrings.xml><?xml version="1.0" encoding="utf-8"?>
<sst xmlns="http://schemas.openxmlformats.org/spreadsheetml/2006/main" count="430" uniqueCount="178">
  <si>
    <t>Bore no</t>
  </si>
  <si>
    <t>Name</t>
  </si>
  <si>
    <t>Bore report</t>
  </si>
  <si>
    <t>Yield (L/s)</t>
  </si>
  <si>
    <t>Completion date</t>
  </si>
  <si>
    <t>Drilled depth (m)</t>
  </si>
  <si>
    <t>Completion depth (m)</t>
  </si>
  <si>
    <t>Depth to water (m) at date of drilling</t>
  </si>
  <si>
    <t>Purpose</t>
  </si>
  <si>
    <t>Construction</t>
  </si>
  <si>
    <t>Status</t>
  </si>
  <si>
    <t>Latitude</t>
  </si>
  <si>
    <t>Longitude</t>
  </si>
  <si>
    <t>UTM zone</t>
  </si>
  <si>
    <t>Easting</t>
  </si>
  <si>
    <t>Northing</t>
  </si>
  <si>
    <t>Position accuracy</t>
  </si>
  <si>
    <t>Water data portal</t>
  </si>
  <si>
    <t>RN016704</t>
  </si>
  <si>
    <t>Ti Tree Monitoring Bore</t>
  </si>
  <si>
    <t>http://www.ntlis.nt.gov.au/hpa-services/borereport?bore=RN016704</t>
  </si>
  <si>
    <t>Monitoring</t>
  </si>
  <si>
    <t>Constructed&amp;Capped</t>
  </si>
  <si>
    <t>Current</t>
  </si>
  <si>
    <t>GPS</t>
  </si>
  <si>
    <t>https://ntg.aquaticinformatics.net/AQWebportal/Data/Location/Summary/Location/RN016704/Interval/Latest</t>
  </si>
  <si>
    <t>RN016705</t>
  </si>
  <si>
    <t>http://www.ntlis.nt.gov.au/hpa-services/borereport?bore=RN016705</t>
  </si>
  <si>
    <t>https://ntg.aquaticinformatics.net/AQWebportal/Data/Location/Summary/Location/RN016705/Interval/Latest</t>
  </si>
  <si>
    <t>RN012156</t>
  </si>
  <si>
    <t>Pine Hill Station</t>
  </si>
  <si>
    <t>http://www.ntlis.nt.gov.au/hpa-services/borereport?bore=RN012156</t>
  </si>
  <si>
    <t>https://ntg.aquaticinformatics.net/AQWebportal/Data/Location/Summary/Location/RN012156/Interval/Latest</t>
  </si>
  <si>
    <t>RN012154</t>
  </si>
  <si>
    <t>http://www.ntlis.nt.gov.au/hpa-services/borereport?bore=RN012154</t>
  </si>
  <si>
    <t>https://ntg.aquaticinformatics.net/AQWebportal/Data/Location/Summary/Location/RN012154/Interval/Latest</t>
  </si>
  <si>
    <t>RN016682</t>
  </si>
  <si>
    <t>Ti Tree Area</t>
  </si>
  <si>
    <t>http://www.ntlis.nt.gov.au/hpa-services/borereport?bore=RN016682</t>
  </si>
  <si>
    <t>https://ntg.aquaticinformatics.net/AQWebportal/Data/Location/Summary/Location/RN016682/Interval/Latest</t>
  </si>
  <si>
    <t>RN016681</t>
  </si>
  <si>
    <t>http://www.ntlis.nt.gov.au/hpa-services/borereport?bore=RN016681</t>
  </si>
  <si>
    <t>https://ntg.aquaticinformatics.net/AQWebportal/Data/Location/Summary/Location/RN016681/Interval/Latest</t>
  </si>
  <si>
    <t>RN016680</t>
  </si>
  <si>
    <t>http://www.ntlis.nt.gov.au/hpa-services/borereport?bore=RN016680</t>
  </si>
  <si>
    <t>https://ntg.aquaticinformatics.net/AQWebportal/Data/Location/Summary/Location/RN016680/Interval/Latest</t>
  </si>
  <si>
    <t>RN016686</t>
  </si>
  <si>
    <t>http://www.ntlis.nt.gov.au/hpa-services/borereport?bore=RN016686</t>
  </si>
  <si>
    <t>https://ntg.aquaticinformatics.net/AQWebportal/Data/Location/Summary/Location/RN016686/Interval/Latest</t>
  </si>
  <si>
    <t>RN016685</t>
  </si>
  <si>
    <t>http://www.ntlis.nt.gov.au/hpa-services/borereport?bore=RN016685</t>
  </si>
  <si>
    <t>https://ntg.aquaticinformatics.net/AQWebportal/Data/Location/Summary/Location/RN016685/Interval/Latest</t>
  </si>
  <si>
    <t>RN016684</t>
  </si>
  <si>
    <t>http://www.ntlis.nt.gov.au/hpa-services/borereport?bore=RN016684</t>
  </si>
  <si>
    <t>https://ntg.aquaticinformatics.net/AQWebportal/Data/Location/Summary/Location/RN016684/Interval/Latest</t>
  </si>
  <si>
    <t>RN016683</t>
  </si>
  <si>
    <t>http://www.ntlis.nt.gov.au/hpa-services/borereport?bore=RN016683</t>
  </si>
  <si>
    <t>https://ntg.aquaticinformatics.net/AQWebportal/Data/Location/Summary/Location/RN016683/Interval/Latest</t>
  </si>
  <si>
    <t>RN010673</t>
  </si>
  <si>
    <t>Monitoring Bore Ti Tree Area</t>
  </si>
  <si>
    <t>http://www.ntlis.nt.gov.au/hpa-services/borereport?bore=RN010673</t>
  </si>
  <si>
    <t>https://ntg.aquaticinformatics.net/AQWebportal/Data/Location/Summary/Location/RN010673/Interval/Latest</t>
  </si>
  <si>
    <t>RN014188</t>
  </si>
  <si>
    <t>http://www.ntlis.nt.gov.au/hpa-services/borereport?bore=RN014188</t>
  </si>
  <si>
    <t>https://ntg.aquaticinformatics.net/AQWebportal/Data/Location/Summary/Location/RN014188/Interval/Latest</t>
  </si>
  <si>
    <t>RN005723</t>
  </si>
  <si>
    <t>http://www.ntlis.nt.gov.au/hpa-services/borereport?bore=RN005723</t>
  </si>
  <si>
    <t>https://ntg.aquaticinformatics.net/AQWebportal/Data/Location/Summary/Location/RN005723/Interval/Latest</t>
  </si>
  <si>
    <t>RN005724</t>
  </si>
  <si>
    <t>http://www.ntlis.nt.gov.au/hpa-services/borereport?bore=RN005724</t>
  </si>
  <si>
    <t>https://ntg.aquaticinformatics.net/AQWebportal/Data/Location/Summary/Location/RN005724/Interval/Latest</t>
  </si>
  <si>
    <t>RN018900</t>
  </si>
  <si>
    <t>Monitoring Bore Bushy Park Station</t>
  </si>
  <si>
    <t>http://www.ntlis.nt.gov.au/hpa-services/borereport?bore=RN018900</t>
  </si>
  <si>
    <t>Investigation</t>
  </si>
  <si>
    <t>https://ntg.aquaticinformatics.net/AQWebportal/Data/Location/Summary/Location/RN018900/Interval/Latest</t>
  </si>
  <si>
    <t>RN005725</t>
  </si>
  <si>
    <t>http://www.ntlis.nt.gov.au/hpa-services/borereport?bore=RN005725</t>
  </si>
  <si>
    <t>https://ntg.aquaticinformatics.net/AQWebportal/Data/Location/Summary/Location/RN005725/Interval/Latest</t>
  </si>
  <si>
    <t>RN014409</t>
  </si>
  <si>
    <t>Monitoring Bore Territory Grape Farm</t>
  </si>
  <si>
    <t>http://www.ntlis.nt.gov.au/hpa-services/borereport?bore=RN014409</t>
  </si>
  <si>
    <t>https://ntg.aquaticinformatics.net/AQWebportal/Data/Location/Summary/Location/RN014409/Interval/Latest</t>
  </si>
  <si>
    <t>RN018912</t>
  </si>
  <si>
    <t>http://www.ntlis.nt.gov.au/hpa-services/borereport?bore=RN018912</t>
  </si>
  <si>
    <t>https://ntg.aquaticinformatics.net/AQWebportal/Data/Location/Summary/Location/RN018912/Interval/Latest</t>
  </si>
  <si>
    <t>RN005507</t>
  </si>
  <si>
    <t>http://www.ntlis.nt.gov.au/hpa-services/borereport?bore=RN005507</t>
  </si>
  <si>
    <t>https://ntg.aquaticinformatics.net/AQWebportal/Data/Location/Summary/Location/RN005507/Interval/Latest</t>
  </si>
  <si>
    <t>RN005506</t>
  </si>
  <si>
    <t>http://www.ntlis.nt.gov.au/hpa-services/borereport?bore=RN005506</t>
  </si>
  <si>
    <t>https://ntg.aquaticinformatics.net/AQWebportal/Data/Location/Summary/Location/RN005506/Interval/Latest</t>
  </si>
  <si>
    <t>RN012581</t>
  </si>
  <si>
    <t>Woodgreen Station</t>
  </si>
  <si>
    <t>http://www.ntlis.nt.gov.au/hpa-services/borereport?bore=RN012581</t>
  </si>
  <si>
    <t>https://ntg.aquaticinformatics.net/AQWebportal/Data/Location/Summary/Location/RN012581/Interval/Latest</t>
  </si>
  <si>
    <t>RN013926</t>
  </si>
  <si>
    <t>http://www.ntlis.nt.gov.au/hpa-services/borereport?bore=RN013926</t>
  </si>
  <si>
    <t>https://ntg.aquaticinformatics.net/AQWebportal/Data/Location/Summary/Location/RN013926/Interval/Latest</t>
  </si>
  <si>
    <t>RN013927</t>
  </si>
  <si>
    <t>http://www.ntlis.nt.gov.au/hpa-services/borereport?bore=RN013927</t>
  </si>
  <si>
    <t>https://ntg.aquaticinformatics.net/AQWebportal/Data/Location/Summary/Location/RN013927/Interval/Latest</t>
  </si>
  <si>
    <t>RN013924</t>
  </si>
  <si>
    <t>http://www.ntlis.nt.gov.au/hpa-services/borereport?bore=RN013924</t>
  </si>
  <si>
    <t>https://ntg.aquaticinformatics.net/AQWebportal/Data/Location/Summary/Location/RN013924/Interval/Latest</t>
  </si>
  <si>
    <t>RN013925</t>
  </si>
  <si>
    <t>http://www.ntlis.nt.gov.au/hpa-services/borereport?bore=RN013925</t>
  </si>
  <si>
    <t>https://ntg.aquaticinformatics.net/AQWebportal/Data/Location/Summary/Location/RN013925/Interval/Latest</t>
  </si>
  <si>
    <t>RN005526</t>
  </si>
  <si>
    <t>http://www.ntlis.nt.gov.au/hpa-services/borereport?bore=RN005526</t>
  </si>
  <si>
    <t>https://ntg.aquaticinformatics.net/AQWebportal/Data/Location/Summary/Location/RN005526/Interval/Latest</t>
  </si>
  <si>
    <t>RN013931</t>
  </si>
  <si>
    <t>http://www.ntlis.nt.gov.au/hpa-services/borereport?bore=RN013931</t>
  </si>
  <si>
    <t>https://ntg.aquaticinformatics.net/AQWebportal/Data/Location/Summary/Location/RN013931/Interval/Latest</t>
  </si>
  <si>
    <t>RN013695</t>
  </si>
  <si>
    <t>http://www.ntlis.nt.gov.au/hpa-services/borereport?bore=RN013695</t>
  </si>
  <si>
    <t>https://ntg.aquaticinformatics.net/AQWebportal/Data/Location/Summary/Location/RN013695/Interval/Latest</t>
  </si>
  <si>
    <t>RN017403</t>
  </si>
  <si>
    <t>Monitoring Bore Ahakeye Land Trust</t>
  </si>
  <si>
    <t>http://www.ntlis.nt.gov.au/hpa-services/borereport?bore=RN017403</t>
  </si>
  <si>
    <t>https://ntg.aquaticinformatics.net/AQWebportal/Data/Location/Summary/Location/RN017403/Interval/Latest</t>
  </si>
  <si>
    <t>RN012594</t>
  </si>
  <si>
    <t>http://www.ntlis.nt.gov.au/hpa-services/borereport?bore=RN012594</t>
  </si>
  <si>
    <t>https://ntg.aquaticinformatics.net/AQWebportal/Data/Location/Summary/Location/RN012594/Interval/Latest</t>
  </si>
  <si>
    <t>RN012593</t>
  </si>
  <si>
    <t>http://www.ntlis.nt.gov.au/hpa-services/borereport?bore=RN012593</t>
  </si>
  <si>
    <t>https://ntg.aquaticinformatics.net/AQWebportal/Data/Location/Summary/Location/RN012593/Interval/Latest</t>
  </si>
  <si>
    <t>RN013936</t>
  </si>
  <si>
    <t>http://www.ntlis.nt.gov.au/hpa-services/borereport?bore=RN013936</t>
  </si>
  <si>
    <t>https://ntg.aquaticinformatics.net/AQWebportal/Data/Location/Summary/Location/RN013936/Interval/Latest</t>
  </si>
  <si>
    <t>RN017218</t>
  </si>
  <si>
    <t>Nturiya East</t>
  </si>
  <si>
    <t>http://www.ntlis.nt.gov.au/hpa-services/borereport?bore=RN017218</t>
  </si>
  <si>
    <t>https://ntg.aquaticinformatics.net/AQWebportal/Data/Location/Summary/Location/RN017218/Interval/Latest</t>
  </si>
  <si>
    <t>RN018594</t>
  </si>
  <si>
    <t>http://www.ntlis.nt.gov.au/hpa-services/borereport?bore=RN018594</t>
  </si>
  <si>
    <t>https://ntg.aquaticinformatics.net/AQWebportal/Data/Location/Summary/Location/RN018594/Interval/Latest</t>
  </si>
  <si>
    <t>RN013461</t>
  </si>
  <si>
    <t>http://www.ntlis.nt.gov.au/hpa-services/borereport?bore=RN013461</t>
  </si>
  <si>
    <t>https://ntg.aquaticinformatics.net/AQWebportal/Data/Location/Summary/Location/RN013461/Interval/Latest</t>
  </si>
  <si>
    <t>RN013462</t>
  </si>
  <si>
    <t>http://www.ntlis.nt.gov.au/hpa-services/borereport?bore=RN013462</t>
  </si>
  <si>
    <t>https://ntg.aquaticinformatics.net/AQWebportal/Data/Location/Summary/Location/RN013462/Interval/Latest</t>
  </si>
  <si>
    <t>RN017857</t>
  </si>
  <si>
    <t>http://www.ntlis.nt.gov.au/hpa-services/borereport?bore=RN017857</t>
  </si>
  <si>
    <t>Observation</t>
  </si>
  <si>
    <t>https://ntg.aquaticinformatics.net/AQWebportal/Data/Location/Summary/Location/RN017857/Interval/Latest</t>
  </si>
  <si>
    <t>RN005570</t>
  </si>
  <si>
    <t>http://www.ntlis.nt.gov.au/hpa-services/borereport?bore=RN005570</t>
  </si>
  <si>
    <t>https://ntg.aquaticinformatics.net/AQWebportal/Data/Location/Summary/Location/RN005570/Interval/Latest</t>
  </si>
  <si>
    <t>RN014099</t>
  </si>
  <si>
    <t>http://www.ntlis.nt.gov.au/hpa-services/borereport?bore=RN014099</t>
  </si>
  <si>
    <t>https://ntg.aquaticinformatics.net/AQWebportal/Data/Location/Summary/Location/RN014099/Interval/Latest</t>
  </si>
  <si>
    <t>RN005588</t>
  </si>
  <si>
    <t>http://www.ntlis.nt.gov.au/hpa-services/borereport?bore=RN005588</t>
  </si>
  <si>
    <t>https://ntg.aquaticinformatics.net/AQWebportal/Data/Location/Summary/Location/RN005588/Interval/Latest</t>
  </si>
  <si>
    <t>RN005633</t>
  </si>
  <si>
    <t>http://www.ntlis.nt.gov.au/hpa-services/borereport?bore=RN005633</t>
  </si>
  <si>
    <t>https://ntg.aquaticinformatics.net/AQWebportal/Data/Location/Summary/Location/RN005633/Interval/Latest</t>
  </si>
  <si>
    <t>RN005626</t>
  </si>
  <si>
    <t>http://www.ntlis.nt.gov.au/hpa-services/borereport?bore=RN005626</t>
  </si>
  <si>
    <t>https://ntg.aquaticinformatics.net/AQWebportal/Data/Location/Summary/Location/RN005626/Interval/Latest</t>
  </si>
  <si>
    <t>RN005628</t>
  </si>
  <si>
    <t>http://www.ntlis.nt.gov.au/hpa-services/borereport?bore=RN005628</t>
  </si>
  <si>
    <t>https://ntg.aquaticinformatics.net/AQWebportal/Data/Location/Summary/Location/RN005628/Interval/Latest</t>
  </si>
  <si>
    <t>RN005641</t>
  </si>
  <si>
    <t>http://www.ntlis.nt.gov.au/hpa-services/borereport?bore=RN005641</t>
  </si>
  <si>
    <t>https://ntg.aquaticinformatics.net/AQWebportal/Data/Location/Summary/Location/RN005641/Interval/Latest</t>
  </si>
  <si>
    <t>RN006543</t>
  </si>
  <si>
    <t>http://www.ntlis.nt.gov.au/hpa-services/borereport?bore=RN006543</t>
  </si>
  <si>
    <t>https://ntg.aquaticinformatics.net/AQWebportal/Data/Location/Summary/Location/RN006543/Interval/Latest</t>
  </si>
  <si>
    <t>RN010678</t>
  </si>
  <si>
    <t>http://www.ntlis.nt.gov.au/hpa-services/borereport?bore=RN010678</t>
  </si>
  <si>
    <t>https://ntg.aquaticinformatics.net/AQWebportal/Data/Location/Summary/Location/RN010678/Interval/Latest</t>
  </si>
  <si>
    <t>RN017319</t>
  </si>
  <si>
    <t>http://www.ntlis.nt.gov.au/hpa-services/borereport?bore=RN017319</t>
  </si>
  <si>
    <t>https://ntg.aquaticinformatics.net/AQWebportal/Data/Location/Summary/Location/RN017319/Interval/Latest</t>
  </si>
  <si>
    <t>Bore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</si>
</sst>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47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tg.aquaticinformatics.net/AQWebportal/Data/Location/Summary/Location/RN014188/Interval/Latest" TargetMode="External"/><Relationship Id="rId18" Type="http://schemas.openxmlformats.org/officeDocument/2006/relationships/hyperlink" Target="https://ntg.aquaticinformatics.net/AQWebportal/Data/Location/Summary/Location/RN014409/Interval/Latest" TargetMode="External"/><Relationship Id="rId26" Type="http://schemas.openxmlformats.org/officeDocument/2006/relationships/hyperlink" Target="https://ntg.aquaticinformatics.net/AQWebportal/Data/Location/Summary/Location/RN013925/Interval/Latest" TargetMode="External"/><Relationship Id="rId39" Type="http://schemas.openxmlformats.org/officeDocument/2006/relationships/hyperlink" Target="https://ntg.aquaticinformatics.net/AQWebportal/Data/Location/Summary/Location/RN005570/Interval/Latest" TargetMode="External"/><Relationship Id="rId21" Type="http://schemas.openxmlformats.org/officeDocument/2006/relationships/hyperlink" Target="https://ntg.aquaticinformatics.net/AQWebportal/Data/Location/Summary/Location/RN005506/Interval/Latest" TargetMode="External"/><Relationship Id="rId34" Type="http://schemas.openxmlformats.org/officeDocument/2006/relationships/hyperlink" Target="https://ntg.aquaticinformatics.net/AQWebportal/Data/Location/Summary/Location/RN017218/Interval/Latest" TargetMode="External"/><Relationship Id="rId42" Type="http://schemas.openxmlformats.org/officeDocument/2006/relationships/hyperlink" Target="https://ntg.aquaticinformatics.net/AQWebportal/Data/Location/Summary/Location/RN005633/Interval/Latest" TargetMode="External"/><Relationship Id="rId47" Type="http://schemas.openxmlformats.org/officeDocument/2006/relationships/hyperlink" Target="https://ntg.aquaticinformatics.net/AQWebportal/Data/Location/Summary/Location/RN010678/Interval/Latest" TargetMode="External"/><Relationship Id="rId7" Type="http://schemas.openxmlformats.org/officeDocument/2006/relationships/hyperlink" Target="https://ntg.aquaticinformatics.net/AQWebportal/Data/Location/Summary/Location/RN016680/Interval/Latest" TargetMode="External"/><Relationship Id="rId2" Type="http://schemas.openxmlformats.org/officeDocument/2006/relationships/hyperlink" Target="https://ntg.aquaticinformatics.net/AQWebportal/Data/Location/Summary/Location/RN016705/Interval/Latest" TargetMode="External"/><Relationship Id="rId16" Type="http://schemas.openxmlformats.org/officeDocument/2006/relationships/hyperlink" Target="https://ntg.aquaticinformatics.net/AQWebportal/Data/Location/Summary/Location/RN018900/Interval/Latest" TargetMode="External"/><Relationship Id="rId29" Type="http://schemas.openxmlformats.org/officeDocument/2006/relationships/hyperlink" Target="https://ntg.aquaticinformatics.net/AQWebportal/Data/Location/Summary/Location/RN013695/Interval/Latest" TargetMode="External"/><Relationship Id="rId1" Type="http://schemas.openxmlformats.org/officeDocument/2006/relationships/hyperlink" Target="https://ntg.aquaticinformatics.net/AQWebportal/Data/Location/Summary/Location/RN016704/Interval/Latest" TargetMode="External"/><Relationship Id="rId6" Type="http://schemas.openxmlformats.org/officeDocument/2006/relationships/hyperlink" Target="https://ntg.aquaticinformatics.net/AQWebportal/Data/Location/Summary/Location/RN016681/Interval/Latest" TargetMode="External"/><Relationship Id="rId11" Type="http://schemas.openxmlformats.org/officeDocument/2006/relationships/hyperlink" Target="https://ntg.aquaticinformatics.net/AQWebportal/Data/Location/Summary/Location/RN016683/Interval/Latest" TargetMode="External"/><Relationship Id="rId24" Type="http://schemas.openxmlformats.org/officeDocument/2006/relationships/hyperlink" Target="https://ntg.aquaticinformatics.net/AQWebportal/Data/Location/Summary/Location/RN013927/Interval/Latest" TargetMode="External"/><Relationship Id="rId32" Type="http://schemas.openxmlformats.org/officeDocument/2006/relationships/hyperlink" Target="https://ntg.aquaticinformatics.net/AQWebportal/Data/Location/Summary/Location/RN012593/Interval/Latest" TargetMode="External"/><Relationship Id="rId37" Type="http://schemas.openxmlformats.org/officeDocument/2006/relationships/hyperlink" Target="https://ntg.aquaticinformatics.net/AQWebportal/Data/Location/Summary/Location/RN013462/Interval/Latest" TargetMode="External"/><Relationship Id="rId40" Type="http://schemas.openxmlformats.org/officeDocument/2006/relationships/hyperlink" Target="https://ntg.aquaticinformatics.net/AQWebportal/Data/Location/Summary/Location/RN014099/Interval/Latest" TargetMode="External"/><Relationship Id="rId45" Type="http://schemas.openxmlformats.org/officeDocument/2006/relationships/hyperlink" Target="https://ntg.aquaticinformatics.net/AQWebportal/Data/Location/Summary/Location/RN005641/Interval/Latest" TargetMode="External"/><Relationship Id="rId5" Type="http://schemas.openxmlformats.org/officeDocument/2006/relationships/hyperlink" Target="https://ntg.aquaticinformatics.net/AQWebportal/Data/Location/Summary/Location/RN016682/Interval/Latest" TargetMode="External"/><Relationship Id="rId15" Type="http://schemas.openxmlformats.org/officeDocument/2006/relationships/hyperlink" Target="https://ntg.aquaticinformatics.net/AQWebportal/Data/Location/Summary/Location/RN005724/Interval/Latest" TargetMode="External"/><Relationship Id="rId23" Type="http://schemas.openxmlformats.org/officeDocument/2006/relationships/hyperlink" Target="https://ntg.aquaticinformatics.net/AQWebportal/Data/Location/Summary/Location/RN013926/Interval/Latest" TargetMode="External"/><Relationship Id="rId28" Type="http://schemas.openxmlformats.org/officeDocument/2006/relationships/hyperlink" Target="https://ntg.aquaticinformatics.net/AQWebportal/Data/Location/Summary/Location/RN013931/Interval/Latest" TargetMode="External"/><Relationship Id="rId36" Type="http://schemas.openxmlformats.org/officeDocument/2006/relationships/hyperlink" Target="https://ntg.aquaticinformatics.net/AQWebportal/Data/Location/Summary/Location/RN013461/Interval/Latest" TargetMode="External"/><Relationship Id="rId10" Type="http://schemas.openxmlformats.org/officeDocument/2006/relationships/hyperlink" Target="https://ntg.aquaticinformatics.net/AQWebportal/Data/Location/Summary/Location/RN016684/Interval/Latest" TargetMode="External"/><Relationship Id="rId19" Type="http://schemas.openxmlformats.org/officeDocument/2006/relationships/hyperlink" Target="https://ntg.aquaticinformatics.net/AQWebportal/Data/Location/Summary/Location/RN018912/Interval/Latest" TargetMode="External"/><Relationship Id="rId31" Type="http://schemas.openxmlformats.org/officeDocument/2006/relationships/hyperlink" Target="https://ntg.aquaticinformatics.net/AQWebportal/Data/Location/Summary/Location/RN012594/Interval/Latest" TargetMode="External"/><Relationship Id="rId44" Type="http://schemas.openxmlformats.org/officeDocument/2006/relationships/hyperlink" Target="https://ntg.aquaticinformatics.net/AQWebportal/Data/Location/Summary/Location/RN005628/Interval/Latest" TargetMode="External"/><Relationship Id="rId4" Type="http://schemas.openxmlformats.org/officeDocument/2006/relationships/hyperlink" Target="https://ntg.aquaticinformatics.net/AQWebportal/Data/Location/Summary/Location/RN012154/Interval/Latest" TargetMode="External"/><Relationship Id="rId9" Type="http://schemas.openxmlformats.org/officeDocument/2006/relationships/hyperlink" Target="https://ntg.aquaticinformatics.net/AQWebportal/Data/Location/Summary/Location/RN016685/Interval/Latest" TargetMode="External"/><Relationship Id="rId14" Type="http://schemas.openxmlformats.org/officeDocument/2006/relationships/hyperlink" Target="https://ntg.aquaticinformatics.net/AQWebportal/Data/Location/Summary/Location/RN005723/Interval/Latest" TargetMode="External"/><Relationship Id="rId22" Type="http://schemas.openxmlformats.org/officeDocument/2006/relationships/hyperlink" Target="https://ntg.aquaticinformatics.net/AQWebportal/Data/Location/Summary/Location/RN012581/Interval/Latest" TargetMode="External"/><Relationship Id="rId27" Type="http://schemas.openxmlformats.org/officeDocument/2006/relationships/hyperlink" Target="https://ntg.aquaticinformatics.net/AQWebportal/Data/Location/Summary/Location/RN005526/Interval/Latest" TargetMode="External"/><Relationship Id="rId30" Type="http://schemas.openxmlformats.org/officeDocument/2006/relationships/hyperlink" Target="https://ntg.aquaticinformatics.net/AQWebportal/Data/Location/Summary/Location/RN017403/Interval/Latest" TargetMode="External"/><Relationship Id="rId35" Type="http://schemas.openxmlformats.org/officeDocument/2006/relationships/hyperlink" Target="https://ntg.aquaticinformatics.net/AQWebportal/Data/Location/Summary/Location/RN018594/Interval/Latest" TargetMode="External"/><Relationship Id="rId43" Type="http://schemas.openxmlformats.org/officeDocument/2006/relationships/hyperlink" Target="https://ntg.aquaticinformatics.net/AQWebportal/Data/Location/Summary/Location/RN005626/Interval/Latest" TargetMode="External"/><Relationship Id="rId48" Type="http://schemas.openxmlformats.org/officeDocument/2006/relationships/hyperlink" Target="https://ntg.aquaticinformatics.net/AQWebportal/Data/Location/Summary/Location/RN017319/Interval/Latest" TargetMode="External"/><Relationship Id="rId8" Type="http://schemas.openxmlformats.org/officeDocument/2006/relationships/hyperlink" Target="https://ntg.aquaticinformatics.net/AQWebportal/Data/Location/Summary/Location/RN016686/Interval/Latest" TargetMode="External"/><Relationship Id="rId3" Type="http://schemas.openxmlformats.org/officeDocument/2006/relationships/hyperlink" Target="https://ntg.aquaticinformatics.net/AQWebportal/Data/Location/Summary/Location/RN012156/Interval/Latest" TargetMode="External"/><Relationship Id="rId12" Type="http://schemas.openxmlformats.org/officeDocument/2006/relationships/hyperlink" Target="https://ntg.aquaticinformatics.net/AQWebportal/Data/Location/Summary/Location/RN010673/Interval/Latest" TargetMode="External"/><Relationship Id="rId17" Type="http://schemas.openxmlformats.org/officeDocument/2006/relationships/hyperlink" Target="https://ntg.aquaticinformatics.net/AQWebportal/Data/Location/Summary/Location/RN005725/Interval/Latest" TargetMode="External"/><Relationship Id="rId25" Type="http://schemas.openxmlformats.org/officeDocument/2006/relationships/hyperlink" Target="https://ntg.aquaticinformatics.net/AQWebportal/Data/Location/Summary/Location/RN013924/Interval/Latest" TargetMode="External"/><Relationship Id="rId33" Type="http://schemas.openxmlformats.org/officeDocument/2006/relationships/hyperlink" Target="https://ntg.aquaticinformatics.net/AQWebportal/Data/Location/Summary/Location/RN013936/Interval/Latest" TargetMode="External"/><Relationship Id="rId38" Type="http://schemas.openxmlformats.org/officeDocument/2006/relationships/hyperlink" Target="https://ntg.aquaticinformatics.net/AQWebportal/Data/Location/Summary/Location/RN017857/Interval/Latest" TargetMode="External"/><Relationship Id="rId46" Type="http://schemas.openxmlformats.org/officeDocument/2006/relationships/hyperlink" Target="https://ntg.aquaticinformatics.net/AQWebportal/Data/Location/Summary/Location/RN006543/Interval/Latest" TargetMode="External"/><Relationship Id="rId20" Type="http://schemas.openxmlformats.org/officeDocument/2006/relationships/hyperlink" Target="https://ntg.aquaticinformatics.net/AQWebportal/Data/Location/Summary/Location/RN005507/Interval/Latest" TargetMode="External"/><Relationship Id="rId41" Type="http://schemas.openxmlformats.org/officeDocument/2006/relationships/hyperlink" Target="https://ntg.aquaticinformatics.net/AQWebportal/Data/Location/Summary/Location/RN005588/Interval/La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ED65-C532-4C30-AB28-B4B8D5BCEA91}">
  <dimension ref="A1:R49"/>
  <sheetViews>
    <sheetView workbookViewId="0">
      <selection activeCell="B1" sqref="B1:R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10</v>
      </c>
      <c r="E2" s="1">
        <v>0</v>
      </c>
      <c r="F2">
        <v>59.5</v>
      </c>
      <c r="G2">
        <v>59.4</v>
      </c>
      <c r="H2">
        <v>26.9</v>
      </c>
      <c r="I2" t="s">
        <v>21</v>
      </c>
      <c r="J2" t="s">
        <v>22</v>
      </c>
      <c r="K2" t="s">
        <v>23</v>
      </c>
      <c r="L2">
        <v>-22.241662999999999</v>
      </c>
      <c r="M2">
        <v>133.42460800000001</v>
      </c>
      <c r="N2">
        <v>53</v>
      </c>
      <c r="O2">
        <v>337649</v>
      </c>
      <c r="P2">
        <v>7539579</v>
      </c>
      <c r="Q2" t="s">
        <v>24</v>
      </c>
      <c r="R2" s="2" t="s">
        <v>25</v>
      </c>
    </row>
    <row r="3" spans="1:18" x14ac:dyDescent="0.25">
      <c r="A3" t="s">
        <v>26</v>
      </c>
      <c r="B3" t="s">
        <v>19</v>
      </c>
      <c r="C3" t="s">
        <v>27</v>
      </c>
      <c r="D3">
        <v>3</v>
      </c>
      <c r="E3" s="1">
        <v>0</v>
      </c>
      <c r="F3">
        <v>56.4</v>
      </c>
      <c r="G3">
        <v>56.3</v>
      </c>
      <c r="H3">
        <v>28.6</v>
      </c>
      <c r="I3" t="s">
        <v>21</v>
      </c>
      <c r="J3" t="s">
        <v>22</v>
      </c>
      <c r="K3" t="s">
        <v>23</v>
      </c>
      <c r="L3">
        <v>-22.251034000000001</v>
      </c>
      <c r="M3">
        <v>133.41219100000001</v>
      </c>
      <c r="N3">
        <v>53</v>
      </c>
      <c r="O3">
        <v>336380</v>
      </c>
      <c r="P3">
        <v>7538528</v>
      </c>
      <c r="Q3" t="s">
        <v>24</v>
      </c>
      <c r="R3" s="2" t="s">
        <v>28</v>
      </c>
    </row>
    <row r="4" spans="1:18" x14ac:dyDescent="0.25">
      <c r="A4" t="s">
        <v>29</v>
      </c>
      <c r="B4" t="s">
        <v>30</v>
      </c>
      <c r="C4" t="s">
        <v>31</v>
      </c>
      <c r="D4">
        <v>6</v>
      </c>
      <c r="E4" s="1">
        <v>0</v>
      </c>
      <c r="F4">
        <v>72.900000000000006</v>
      </c>
      <c r="G4">
        <v>72.900000000000006</v>
      </c>
      <c r="H4">
        <v>0</v>
      </c>
      <c r="I4" t="s">
        <v>21</v>
      </c>
      <c r="J4" t="s">
        <v>22</v>
      </c>
      <c r="K4" t="s">
        <v>23</v>
      </c>
      <c r="L4">
        <v>-22.353915000000001</v>
      </c>
      <c r="M4">
        <v>133.649125</v>
      </c>
      <c r="N4">
        <v>53</v>
      </c>
      <c r="O4">
        <v>360901</v>
      </c>
      <c r="P4">
        <v>7527375</v>
      </c>
      <c r="Q4" t="s">
        <v>24</v>
      </c>
      <c r="R4" s="2" t="s">
        <v>32</v>
      </c>
    </row>
    <row r="5" spans="1:18" x14ac:dyDescent="0.25">
      <c r="A5" t="s">
        <v>33</v>
      </c>
      <c r="B5" t="s">
        <v>30</v>
      </c>
      <c r="C5" t="s">
        <v>34</v>
      </c>
      <c r="D5">
        <v>3.5</v>
      </c>
      <c r="E5" s="1">
        <v>0</v>
      </c>
      <c r="F5">
        <v>98.8</v>
      </c>
      <c r="G5">
        <v>0</v>
      </c>
      <c r="H5">
        <v>0</v>
      </c>
      <c r="I5" t="s">
        <v>21</v>
      </c>
      <c r="J5" t="s">
        <v>22</v>
      </c>
      <c r="K5" t="s">
        <v>23</v>
      </c>
      <c r="L5">
        <v>-22.366488</v>
      </c>
      <c r="M5">
        <v>133.48576299999999</v>
      </c>
      <c r="N5">
        <v>53</v>
      </c>
      <c r="O5">
        <v>344091</v>
      </c>
      <c r="P5">
        <v>7525823</v>
      </c>
      <c r="Q5" t="s">
        <v>24</v>
      </c>
      <c r="R5" s="2" t="s">
        <v>35</v>
      </c>
    </row>
    <row r="6" spans="1:18" x14ac:dyDescent="0.25">
      <c r="A6" t="s">
        <v>36</v>
      </c>
      <c r="B6" t="s">
        <v>37</v>
      </c>
      <c r="C6" t="s">
        <v>38</v>
      </c>
      <c r="D6">
        <v>5</v>
      </c>
      <c r="E6" s="1">
        <v>0</v>
      </c>
      <c r="F6">
        <v>59.5</v>
      </c>
      <c r="G6">
        <v>53.9</v>
      </c>
      <c r="H6">
        <v>36.39</v>
      </c>
      <c r="I6" t="s">
        <v>21</v>
      </c>
      <c r="J6" t="s">
        <v>22</v>
      </c>
      <c r="K6" t="s">
        <v>23</v>
      </c>
      <c r="L6">
        <v>-22.282050999999999</v>
      </c>
      <c r="M6">
        <v>133.319076</v>
      </c>
      <c r="N6">
        <v>53</v>
      </c>
      <c r="O6">
        <v>326821</v>
      </c>
      <c r="P6">
        <v>7534990</v>
      </c>
      <c r="Q6" t="s">
        <v>24</v>
      </c>
      <c r="R6" s="2" t="s">
        <v>39</v>
      </c>
    </row>
    <row r="7" spans="1:18" x14ac:dyDescent="0.25">
      <c r="A7" t="s">
        <v>40</v>
      </c>
      <c r="B7" t="s">
        <v>37</v>
      </c>
      <c r="C7" t="s">
        <v>41</v>
      </c>
      <c r="D7">
        <v>5</v>
      </c>
      <c r="E7" s="1">
        <v>0</v>
      </c>
      <c r="F7">
        <v>65.5</v>
      </c>
      <c r="G7">
        <v>52.6</v>
      </c>
      <c r="H7">
        <v>22.03</v>
      </c>
      <c r="I7" t="s">
        <v>21</v>
      </c>
      <c r="J7" t="s">
        <v>22</v>
      </c>
      <c r="K7" t="s">
        <v>23</v>
      </c>
      <c r="L7">
        <v>-22.281922000000002</v>
      </c>
      <c r="M7">
        <v>133.48868400000001</v>
      </c>
      <c r="N7">
        <v>53</v>
      </c>
      <c r="O7">
        <v>344298</v>
      </c>
      <c r="P7">
        <v>7535189</v>
      </c>
      <c r="Q7" t="s">
        <v>24</v>
      </c>
      <c r="R7" s="2" t="s">
        <v>42</v>
      </c>
    </row>
    <row r="8" spans="1:18" x14ac:dyDescent="0.25">
      <c r="A8" t="s">
        <v>43</v>
      </c>
      <c r="B8" t="s">
        <v>37</v>
      </c>
      <c r="C8" t="s">
        <v>44</v>
      </c>
      <c r="D8">
        <v>10</v>
      </c>
      <c r="E8" s="1">
        <v>0</v>
      </c>
      <c r="F8">
        <v>77.5</v>
      </c>
      <c r="G8">
        <v>77.5</v>
      </c>
      <c r="I8" t="s">
        <v>21</v>
      </c>
      <c r="J8" t="s">
        <v>22</v>
      </c>
      <c r="K8" t="s">
        <v>23</v>
      </c>
      <c r="L8">
        <v>-22.282081999999999</v>
      </c>
      <c r="M8">
        <v>133.55789899999999</v>
      </c>
      <c r="N8">
        <v>53</v>
      </c>
      <c r="O8">
        <v>351430</v>
      </c>
      <c r="P8">
        <v>7535241</v>
      </c>
      <c r="Q8" t="s">
        <v>24</v>
      </c>
      <c r="R8" s="2" t="s">
        <v>45</v>
      </c>
    </row>
    <row r="9" spans="1:18" x14ac:dyDescent="0.25">
      <c r="A9" t="s">
        <v>46</v>
      </c>
      <c r="B9" t="s">
        <v>30</v>
      </c>
      <c r="C9" t="s">
        <v>47</v>
      </c>
      <c r="D9">
        <v>5</v>
      </c>
      <c r="E9" s="1">
        <v>0</v>
      </c>
      <c r="F9">
        <v>65.599999999999994</v>
      </c>
      <c r="G9">
        <v>64</v>
      </c>
      <c r="H9">
        <v>28.65</v>
      </c>
      <c r="I9" t="s">
        <v>21</v>
      </c>
      <c r="J9" t="s">
        <v>22</v>
      </c>
      <c r="K9" t="s">
        <v>23</v>
      </c>
      <c r="L9">
        <v>-22.405242000000001</v>
      </c>
      <c r="M9">
        <v>133.23712900000001</v>
      </c>
      <c r="N9">
        <v>53</v>
      </c>
      <c r="O9">
        <v>318536</v>
      </c>
      <c r="P9">
        <v>7521253</v>
      </c>
      <c r="Q9" t="s">
        <v>24</v>
      </c>
      <c r="R9" s="2" t="s">
        <v>48</v>
      </c>
    </row>
    <row r="10" spans="1:18" x14ac:dyDescent="0.25">
      <c r="A10" t="s">
        <v>49</v>
      </c>
      <c r="B10" t="s">
        <v>30</v>
      </c>
      <c r="C10" t="s">
        <v>50</v>
      </c>
      <c r="D10">
        <v>0.4</v>
      </c>
      <c r="E10" s="1">
        <v>0</v>
      </c>
      <c r="F10">
        <v>107.7</v>
      </c>
      <c r="G10">
        <v>107.2</v>
      </c>
      <c r="H10">
        <v>60.18</v>
      </c>
      <c r="I10" t="s">
        <v>21</v>
      </c>
      <c r="J10" t="s">
        <v>22</v>
      </c>
      <c r="K10" t="s">
        <v>23</v>
      </c>
      <c r="L10">
        <v>-22.442128</v>
      </c>
      <c r="M10">
        <v>133.35461599999999</v>
      </c>
      <c r="N10">
        <v>53</v>
      </c>
      <c r="O10">
        <v>330677</v>
      </c>
      <c r="P10">
        <v>7517306</v>
      </c>
      <c r="Q10" t="s">
        <v>24</v>
      </c>
      <c r="R10" s="2" t="s">
        <v>51</v>
      </c>
    </row>
    <row r="11" spans="1:18" x14ac:dyDescent="0.25">
      <c r="A11" t="s">
        <v>52</v>
      </c>
      <c r="B11" t="s">
        <v>37</v>
      </c>
      <c r="C11" t="s">
        <v>53</v>
      </c>
      <c r="D11">
        <v>0.2</v>
      </c>
      <c r="E11" s="1">
        <v>0</v>
      </c>
      <c r="F11">
        <v>106.6</v>
      </c>
      <c r="G11">
        <v>106.2</v>
      </c>
      <c r="H11">
        <v>0</v>
      </c>
      <c r="I11" t="s">
        <v>21</v>
      </c>
      <c r="J11" t="s">
        <v>22</v>
      </c>
      <c r="K11" t="s">
        <v>23</v>
      </c>
      <c r="L11">
        <v>-22.282062</v>
      </c>
      <c r="M11">
        <v>133.24918700000001</v>
      </c>
      <c r="N11">
        <v>53</v>
      </c>
      <c r="O11">
        <v>319619</v>
      </c>
      <c r="P11">
        <v>7534907</v>
      </c>
      <c r="Q11" t="s">
        <v>24</v>
      </c>
      <c r="R11" s="2" t="s">
        <v>54</v>
      </c>
    </row>
    <row r="12" spans="1:18" x14ac:dyDescent="0.25">
      <c r="A12" t="s">
        <v>55</v>
      </c>
      <c r="B12" t="s">
        <v>37</v>
      </c>
      <c r="C12" t="s">
        <v>56</v>
      </c>
      <c r="D12">
        <v>10</v>
      </c>
      <c r="E12" s="1">
        <v>0</v>
      </c>
      <c r="F12">
        <v>71.5</v>
      </c>
      <c r="G12">
        <v>66.900000000000006</v>
      </c>
      <c r="H12">
        <v>26.12</v>
      </c>
      <c r="I12" t="s">
        <v>21</v>
      </c>
      <c r="J12" t="s">
        <v>22</v>
      </c>
      <c r="K12" t="s">
        <v>23</v>
      </c>
      <c r="L12">
        <v>-22.266825999999998</v>
      </c>
      <c r="M12">
        <v>133.38236900000001</v>
      </c>
      <c r="N12">
        <v>53</v>
      </c>
      <c r="O12">
        <v>333325</v>
      </c>
      <c r="P12">
        <v>7536747</v>
      </c>
      <c r="Q12" t="s">
        <v>24</v>
      </c>
      <c r="R12" s="2" t="s">
        <v>57</v>
      </c>
    </row>
    <row r="13" spans="1:18" x14ac:dyDescent="0.25">
      <c r="A13" t="s">
        <v>58</v>
      </c>
      <c r="B13" t="s">
        <v>59</v>
      </c>
      <c r="C13" t="s">
        <v>60</v>
      </c>
      <c r="D13">
        <v>6</v>
      </c>
      <c r="E13" s="1">
        <v>0</v>
      </c>
      <c r="F13">
        <v>75.7</v>
      </c>
      <c r="G13">
        <v>0</v>
      </c>
      <c r="H13">
        <v>0</v>
      </c>
      <c r="I13" t="s">
        <v>21</v>
      </c>
      <c r="J13" t="s">
        <v>22</v>
      </c>
      <c r="K13" t="s">
        <v>23</v>
      </c>
      <c r="L13">
        <v>-22.207903999999999</v>
      </c>
      <c r="M13">
        <v>133.428574</v>
      </c>
      <c r="N13">
        <v>53</v>
      </c>
      <c r="O13">
        <v>338019</v>
      </c>
      <c r="P13">
        <v>7543321</v>
      </c>
      <c r="Q13" t="s">
        <v>24</v>
      </c>
      <c r="R13" s="2" t="s">
        <v>61</v>
      </c>
    </row>
    <row r="14" spans="1:18" x14ac:dyDescent="0.25">
      <c r="A14" t="s">
        <v>62</v>
      </c>
      <c r="B14" t="s">
        <v>30</v>
      </c>
      <c r="C14" t="s">
        <v>63</v>
      </c>
      <c r="D14">
        <v>15</v>
      </c>
      <c r="E14" s="1">
        <v>0</v>
      </c>
      <c r="F14">
        <v>57</v>
      </c>
      <c r="G14">
        <v>54</v>
      </c>
      <c r="H14">
        <v>17.2</v>
      </c>
      <c r="I14" t="s">
        <v>21</v>
      </c>
      <c r="J14" t="s">
        <v>22</v>
      </c>
      <c r="K14" t="s">
        <v>23</v>
      </c>
      <c r="L14">
        <v>-22.469277999999999</v>
      </c>
      <c r="M14">
        <v>133.57693</v>
      </c>
      <c r="N14">
        <v>53</v>
      </c>
      <c r="O14">
        <v>353587</v>
      </c>
      <c r="P14">
        <v>7514534</v>
      </c>
      <c r="Q14" t="s">
        <v>24</v>
      </c>
      <c r="R14" s="2" t="s">
        <v>64</v>
      </c>
    </row>
    <row r="15" spans="1:18" x14ac:dyDescent="0.25">
      <c r="A15" t="s">
        <v>65</v>
      </c>
      <c r="B15" t="s">
        <v>59</v>
      </c>
      <c r="C15" t="s">
        <v>66</v>
      </c>
      <c r="D15">
        <v>8.4</v>
      </c>
      <c r="E15" s="1">
        <v>0</v>
      </c>
      <c r="F15">
        <v>61</v>
      </c>
      <c r="G15">
        <v>0</v>
      </c>
      <c r="H15">
        <v>0</v>
      </c>
      <c r="I15" t="s">
        <v>21</v>
      </c>
      <c r="K15" t="s">
        <v>23</v>
      </c>
      <c r="L15">
        <v>-22.201708</v>
      </c>
      <c r="M15">
        <v>133.41371599999999</v>
      </c>
      <c r="N15">
        <v>53</v>
      </c>
      <c r="O15">
        <v>336480</v>
      </c>
      <c r="P15">
        <v>7543991</v>
      </c>
      <c r="Q15" t="s">
        <v>24</v>
      </c>
      <c r="R15" s="2" t="s">
        <v>67</v>
      </c>
    </row>
    <row r="16" spans="1:18" x14ac:dyDescent="0.25">
      <c r="A16" t="s">
        <v>68</v>
      </c>
      <c r="B16" t="s">
        <v>37</v>
      </c>
      <c r="C16" t="s">
        <v>69</v>
      </c>
      <c r="D16">
        <v>7.5</v>
      </c>
      <c r="E16" s="1">
        <v>0</v>
      </c>
      <c r="F16">
        <v>61.6</v>
      </c>
      <c r="G16">
        <v>61.6</v>
      </c>
      <c r="H16">
        <v>0</v>
      </c>
      <c r="I16" t="s">
        <v>21</v>
      </c>
      <c r="J16" t="s">
        <v>22</v>
      </c>
      <c r="K16" t="s">
        <v>23</v>
      </c>
      <c r="L16">
        <v>-22.243054999999998</v>
      </c>
      <c r="M16">
        <v>133.41361000000001</v>
      </c>
      <c r="N16">
        <v>53</v>
      </c>
      <c r="O16">
        <v>336517</v>
      </c>
      <c r="P16">
        <v>7539413</v>
      </c>
      <c r="Q16" t="s">
        <v>24</v>
      </c>
      <c r="R16" s="2" t="s">
        <v>70</v>
      </c>
    </row>
    <row r="17" spans="1:18" x14ac:dyDescent="0.25">
      <c r="A17" t="s">
        <v>71</v>
      </c>
      <c r="B17" t="s">
        <v>72</v>
      </c>
      <c r="C17" t="s">
        <v>73</v>
      </c>
      <c r="D17">
        <v>1</v>
      </c>
      <c r="E17" s="1">
        <v>0</v>
      </c>
      <c r="F17">
        <v>88.1</v>
      </c>
      <c r="G17">
        <v>91.6</v>
      </c>
      <c r="H17">
        <v>52.35</v>
      </c>
      <c r="I17" t="s">
        <v>74</v>
      </c>
      <c r="J17" t="s">
        <v>22</v>
      </c>
      <c r="K17" t="s">
        <v>23</v>
      </c>
      <c r="L17">
        <v>-22.674115</v>
      </c>
      <c r="M17">
        <v>133.93793500000001</v>
      </c>
      <c r="N17">
        <v>53</v>
      </c>
      <c r="O17">
        <v>390894</v>
      </c>
      <c r="P17">
        <v>7492165</v>
      </c>
      <c r="Q17" t="s">
        <v>24</v>
      </c>
      <c r="R17" s="2" t="s">
        <v>75</v>
      </c>
    </row>
    <row r="18" spans="1:18" x14ac:dyDescent="0.25">
      <c r="A18" t="s">
        <v>76</v>
      </c>
      <c r="B18" t="s">
        <v>37</v>
      </c>
      <c r="C18" t="s">
        <v>77</v>
      </c>
      <c r="D18">
        <v>8.8000000000000007</v>
      </c>
      <c r="E18" s="1">
        <v>0</v>
      </c>
      <c r="F18">
        <v>61.6</v>
      </c>
      <c r="G18">
        <v>0</v>
      </c>
      <c r="H18">
        <v>0</v>
      </c>
      <c r="I18" t="s">
        <v>21</v>
      </c>
      <c r="J18" t="s">
        <v>22</v>
      </c>
      <c r="K18" t="s">
        <v>23</v>
      </c>
      <c r="L18">
        <v>-22.243172000000001</v>
      </c>
      <c r="M18">
        <v>133.41360900000001</v>
      </c>
      <c r="N18">
        <v>53</v>
      </c>
      <c r="O18">
        <v>336517</v>
      </c>
      <c r="P18">
        <v>7539400</v>
      </c>
      <c r="Q18" t="s">
        <v>24</v>
      </c>
      <c r="R18" s="2" t="s">
        <v>78</v>
      </c>
    </row>
    <row r="19" spans="1:18" x14ac:dyDescent="0.25">
      <c r="A19" t="s">
        <v>79</v>
      </c>
      <c r="B19" t="s">
        <v>80</v>
      </c>
      <c r="C19" t="s">
        <v>81</v>
      </c>
      <c r="D19">
        <v>7</v>
      </c>
      <c r="E19" s="1">
        <v>0</v>
      </c>
      <c r="F19">
        <v>69</v>
      </c>
      <c r="G19">
        <v>65</v>
      </c>
      <c r="H19">
        <v>16.399999999999999</v>
      </c>
      <c r="I19" t="s">
        <v>21</v>
      </c>
      <c r="J19" t="s">
        <v>22</v>
      </c>
      <c r="K19" t="s">
        <v>23</v>
      </c>
      <c r="L19">
        <v>-22.449311000000002</v>
      </c>
      <c r="M19">
        <v>133.659504</v>
      </c>
      <c r="N19">
        <v>53</v>
      </c>
      <c r="O19">
        <v>362064</v>
      </c>
      <c r="P19">
        <v>7516823</v>
      </c>
      <c r="Q19" t="s">
        <v>24</v>
      </c>
      <c r="R19" s="2" t="s">
        <v>82</v>
      </c>
    </row>
    <row r="20" spans="1:18" x14ac:dyDescent="0.25">
      <c r="A20" t="s">
        <v>83</v>
      </c>
      <c r="B20" t="s">
        <v>72</v>
      </c>
      <c r="C20" t="s">
        <v>84</v>
      </c>
      <c r="D20">
        <v>1</v>
      </c>
      <c r="E20" s="1">
        <v>0</v>
      </c>
      <c r="F20">
        <v>73.3</v>
      </c>
      <c r="G20">
        <v>73.3</v>
      </c>
      <c r="H20">
        <v>46.97</v>
      </c>
      <c r="I20" t="s">
        <v>74</v>
      </c>
      <c r="J20" t="s">
        <v>22</v>
      </c>
      <c r="K20" t="s">
        <v>23</v>
      </c>
      <c r="L20">
        <v>-22.741472000000002</v>
      </c>
      <c r="M20">
        <v>133.93656799999999</v>
      </c>
      <c r="N20">
        <v>53</v>
      </c>
      <c r="O20">
        <v>390807</v>
      </c>
      <c r="P20">
        <v>7484707</v>
      </c>
      <c r="Q20" t="s">
        <v>24</v>
      </c>
      <c r="R20" s="2" t="s">
        <v>85</v>
      </c>
    </row>
    <row r="21" spans="1:18" x14ac:dyDescent="0.25">
      <c r="A21" t="s">
        <v>86</v>
      </c>
      <c r="B21" t="s">
        <v>37</v>
      </c>
      <c r="C21" t="s">
        <v>87</v>
      </c>
      <c r="D21">
        <v>4.5</v>
      </c>
      <c r="E21" s="1">
        <v>0</v>
      </c>
      <c r="F21">
        <v>67.400000000000006</v>
      </c>
      <c r="G21">
        <v>0</v>
      </c>
      <c r="H21">
        <v>0</v>
      </c>
      <c r="I21" t="s">
        <v>21</v>
      </c>
      <c r="J21" t="s">
        <v>22</v>
      </c>
      <c r="K21" t="s">
        <v>23</v>
      </c>
      <c r="L21">
        <v>-22.222335999999999</v>
      </c>
      <c r="M21">
        <v>133.41363000000001</v>
      </c>
      <c r="N21">
        <v>53</v>
      </c>
      <c r="O21">
        <v>336495</v>
      </c>
      <c r="P21">
        <v>7541707</v>
      </c>
      <c r="Q21" t="s">
        <v>24</v>
      </c>
      <c r="R21" s="2" t="s">
        <v>88</v>
      </c>
    </row>
    <row r="22" spans="1:18" x14ac:dyDescent="0.25">
      <c r="A22" t="s">
        <v>89</v>
      </c>
      <c r="B22" t="s">
        <v>37</v>
      </c>
      <c r="C22" t="s">
        <v>90</v>
      </c>
      <c r="D22">
        <v>0.6</v>
      </c>
      <c r="E22" s="1">
        <v>0</v>
      </c>
      <c r="F22">
        <v>36.9</v>
      </c>
      <c r="G22">
        <v>0</v>
      </c>
      <c r="H22">
        <v>0</v>
      </c>
      <c r="I22" t="s">
        <v>21</v>
      </c>
      <c r="J22" t="s">
        <v>22</v>
      </c>
      <c r="K22" t="s">
        <v>23</v>
      </c>
      <c r="L22">
        <v>-22.146623999999999</v>
      </c>
      <c r="M22">
        <v>133.41382999999999</v>
      </c>
      <c r="N22">
        <v>53</v>
      </c>
      <c r="O22">
        <v>336428</v>
      </c>
      <c r="P22">
        <v>7550090</v>
      </c>
      <c r="Q22" t="s">
        <v>24</v>
      </c>
      <c r="R22" s="2" t="s">
        <v>91</v>
      </c>
    </row>
    <row r="23" spans="1:18" x14ac:dyDescent="0.25">
      <c r="A23" t="s">
        <v>92</v>
      </c>
      <c r="B23" t="s">
        <v>93</v>
      </c>
      <c r="C23" t="s">
        <v>94</v>
      </c>
      <c r="D23">
        <v>10</v>
      </c>
      <c r="E23" s="1">
        <v>0</v>
      </c>
      <c r="F23">
        <v>162.6</v>
      </c>
      <c r="G23">
        <v>162.6</v>
      </c>
      <c r="H23">
        <v>0</v>
      </c>
      <c r="I23" t="s">
        <v>21</v>
      </c>
      <c r="J23" t="s">
        <v>22</v>
      </c>
      <c r="K23" t="s">
        <v>23</v>
      </c>
      <c r="L23">
        <v>-22.43375</v>
      </c>
      <c r="M23">
        <v>133.752072</v>
      </c>
      <c r="N23">
        <v>53</v>
      </c>
      <c r="O23">
        <v>371576</v>
      </c>
      <c r="P23">
        <v>7518628</v>
      </c>
      <c r="Q23" t="s">
        <v>24</v>
      </c>
      <c r="R23" s="2" t="s">
        <v>95</v>
      </c>
    </row>
    <row r="24" spans="1:18" x14ac:dyDescent="0.25">
      <c r="A24" t="s">
        <v>96</v>
      </c>
      <c r="B24" t="s">
        <v>30</v>
      </c>
      <c r="C24" t="s">
        <v>97</v>
      </c>
      <c r="D24">
        <v>10</v>
      </c>
      <c r="E24" s="1">
        <v>0</v>
      </c>
      <c r="F24">
        <v>57</v>
      </c>
      <c r="G24">
        <v>57</v>
      </c>
      <c r="H24">
        <v>27.27</v>
      </c>
      <c r="I24" t="s">
        <v>21</v>
      </c>
      <c r="J24" t="s">
        <v>22</v>
      </c>
      <c r="K24" t="s">
        <v>23</v>
      </c>
      <c r="L24">
        <v>-22.511092000000001</v>
      </c>
      <c r="M24">
        <v>133.573353</v>
      </c>
      <c r="N24">
        <v>53</v>
      </c>
      <c r="O24">
        <v>353263</v>
      </c>
      <c r="P24">
        <v>7509901</v>
      </c>
      <c r="Q24" t="s">
        <v>24</v>
      </c>
      <c r="R24" s="2" t="s">
        <v>98</v>
      </c>
    </row>
    <row r="25" spans="1:18" x14ac:dyDescent="0.25">
      <c r="A25" t="s">
        <v>99</v>
      </c>
      <c r="B25" t="s">
        <v>30</v>
      </c>
      <c r="C25" t="s">
        <v>100</v>
      </c>
      <c r="D25">
        <v>5.5</v>
      </c>
      <c r="E25" s="1">
        <v>0</v>
      </c>
      <c r="F25">
        <v>82</v>
      </c>
      <c r="G25">
        <v>0</v>
      </c>
      <c r="H25">
        <v>0</v>
      </c>
      <c r="I25" t="s">
        <v>21</v>
      </c>
      <c r="J25" t="s">
        <v>22</v>
      </c>
      <c r="K25" t="s">
        <v>23</v>
      </c>
      <c r="L25">
        <v>-22.502675</v>
      </c>
      <c r="M25">
        <v>133.523302</v>
      </c>
      <c r="N25">
        <v>53</v>
      </c>
      <c r="O25">
        <v>348105</v>
      </c>
      <c r="P25">
        <v>7510783</v>
      </c>
      <c r="Q25" t="s">
        <v>24</v>
      </c>
      <c r="R25" s="2" t="s">
        <v>101</v>
      </c>
    </row>
    <row r="26" spans="1:18" x14ac:dyDescent="0.25">
      <c r="A26" t="s">
        <v>102</v>
      </c>
      <c r="B26" t="s">
        <v>30</v>
      </c>
      <c r="C26" t="s">
        <v>103</v>
      </c>
      <c r="D26">
        <v>10</v>
      </c>
      <c r="E26" s="1">
        <v>0</v>
      </c>
      <c r="F26">
        <v>88</v>
      </c>
      <c r="G26">
        <v>88</v>
      </c>
      <c r="H26">
        <v>0</v>
      </c>
      <c r="I26" t="s">
        <v>21</v>
      </c>
      <c r="J26" t="s">
        <v>22</v>
      </c>
      <c r="K26" t="s">
        <v>23</v>
      </c>
      <c r="L26">
        <v>-22.393564999999999</v>
      </c>
      <c r="M26">
        <v>133.50912</v>
      </c>
      <c r="N26">
        <v>53</v>
      </c>
      <c r="O26">
        <v>346526</v>
      </c>
      <c r="P26">
        <v>7522849</v>
      </c>
      <c r="Q26" t="s">
        <v>24</v>
      </c>
      <c r="R26" s="2" t="s">
        <v>104</v>
      </c>
    </row>
    <row r="27" spans="1:18" x14ac:dyDescent="0.25">
      <c r="A27" t="s">
        <v>105</v>
      </c>
      <c r="B27" t="s">
        <v>30</v>
      </c>
      <c r="C27" t="s">
        <v>106</v>
      </c>
      <c r="D27">
        <v>6</v>
      </c>
      <c r="E27" s="1">
        <v>0</v>
      </c>
      <c r="F27">
        <v>97</v>
      </c>
      <c r="G27">
        <v>97</v>
      </c>
      <c r="H27">
        <v>0</v>
      </c>
      <c r="I27" t="s">
        <v>21</v>
      </c>
      <c r="J27" t="s">
        <v>22</v>
      </c>
      <c r="K27" t="s">
        <v>23</v>
      </c>
      <c r="L27">
        <v>-22.424807000000001</v>
      </c>
      <c r="M27">
        <v>133.54382799999999</v>
      </c>
      <c r="N27">
        <v>53</v>
      </c>
      <c r="O27">
        <v>350133</v>
      </c>
      <c r="P27">
        <v>7519425</v>
      </c>
      <c r="Q27" t="s">
        <v>24</v>
      </c>
      <c r="R27" s="2" t="s">
        <v>107</v>
      </c>
    </row>
    <row r="28" spans="1:18" x14ac:dyDescent="0.25">
      <c r="A28" t="s">
        <v>108</v>
      </c>
      <c r="B28" t="s">
        <v>37</v>
      </c>
      <c r="C28" t="s">
        <v>109</v>
      </c>
      <c r="D28">
        <v>4.5</v>
      </c>
      <c r="E28" s="1">
        <v>0</v>
      </c>
      <c r="F28">
        <v>79.900000000000006</v>
      </c>
      <c r="G28">
        <v>79.900000000000006</v>
      </c>
      <c r="H28">
        <v>0</v>
      </c>
      <c r="I28" t="s">
        <v>21</v>
      </c>
      <c r="J28" t="s">
        <v>22</v>
      </c>
      <c r="K28" t="s">
        <v>23</v>
      </c>
      <c r="L28">
        <v>-22.146384999999999</v>
      </c>
      <c r="M28">
        <v>133.31782200000001</v>
      </c>
      <c r="N28">
        <v>53</v>
      </c>
      <c r="O28">
        <v>326525</v>
      </c>
      <c r="P28">
        <v>7550010</v>
      </c>
      <c r="Q28" t="s">
        <v>24</v>
      </c>
      <c r="R28" s="2" t="s">
        <v>110</v>
      </c>
    </row>
    <row r="29" spans="1:18" x14ac:dyDescent="0.25">
      <c r="A29" t="s">
        <v>111</v>
      </c>
      <c r="B29" t="s">
        <v>30</v>
      </c>
      <c r="C29" t="s">
        <v>112</v>
      </c>
      <c r="D29">
        <v>10</v>
      </c>
      <c r="E29" s="1">
        <v>0</v>
      </c>
      <c r="F29">
        <v>90</v>
      </c>
      <c r="G29">
        <v>0</v>
      </c>
      <c r="H29">
        <v>0</v>
      </c>
      <c r="I29" t="s">
        <v>21</v>
      </c>
      <c r="J29" t="s">
        <v>22</v>
      </c>
      <c r="K29" t="s">
        <v>23</v>
      </c>
      <c r="L29">
        <v>-22.368417999999998</v>
      </c>
      <c r="M29">
        <v>133.59569999999999</v>
      </c>
      <c r="N29">
        <v>53</v>
      </c>
      <c r="O29">
        <v>355414</v>
      </c>
      <c r="P29">
        <v>7525719</v>
      </c>
      <c r="Q29" t="s">
        <v>24</v>
      </c>
      <c r="R29" s="2" t="s">
        <v>113</v>
      </c>
    </row>
    <row r="30" spans="1:18" x14ac:dyDescent="0.25">
      <c r="A30" t="s">
        <v>114</v>
      </c>
      <c r="B30" t="s">
        <v>30</v>
      </c>
      <c r="C30" t="s">
        <v>115</v>
      </c>
      <c r="D30">
        <v>2.8</v>
      </c>
      <c r="E30" s="1">
        <v>0</v>
      </c>
      <c r="F30">
        <v>45</v>
      </c>
      <c r="G30">
        <v>45</v>
      </c>
      <c r="H30">
        <v>36</v>
      </c>
      <c r="I30" t="s">
        <v>21</v>
      </c>
      <c r="J30" t="s">
        <v>22</v>
      </c>
      <c r="K30" t="s">
        <v>23</v>
      </c>
      <c r="L30">
        <v>-22.514430000000001</v>
      </c>
      <c r="M30">
        <v>133.62582399999999</v>
      </c>
      <c r="N30">
        <v>53</v>
      </c>
      <c r="O30">
        <v>358664</v>
      </c>
      <c r="P30">
        <v>7509582</v>
      </c>
      <c r="Q30" t="s">
        <v>24</v>
      </c>
      <c r="R30" s="2" t="s">
        <v>116</v>
      </c>
    </row>
    <row r="31" spans="1:18" x14ac:dyDescent="0.25">
      <c r="A31" t="s">
        <v>117</v>
      </c>
      <c r="B31" t="s">
        <v>118</v>
      </c>
      <c r="C31" t="s">
        <v>119</v>
      </c>
      <c r="D31">
        <v>5</v>
      </c>
      <c r="E31" s="1">
        <v>0</v>
      </c>
      <c r="F31">
        <v>66.599999999999994</v>
      </c>
      <c r="G31">
        <v>53.6</v>
      </c>
      <c r="H31">
        <v>7.02</v>
      </c>
      <c r="I31" t="s">
        <v>21</v>
      </c>
      <c r="J31" t="s">
        <v>22</v>
      </c>
      <c r="K31" t="s">
        <v>23</v>
      </c>
      <c r="L31">
        <v>-22.259063999999999</v>
      </c>
      <c r="M31">
        <v>133.80572799999999</v>
      </c>
      <c r="N31">
        <v>53</v>
      </c>
      <c r="O31">
        <v>376945</v>
      </c>
      <c r="P31">
        <v>7538012</v>
      </c>
      <c r="Q31" t="s">
        <v>24</v>
      </c>
      <c r="R31" s="2" t="s">
        <v>120</v>
      </c>
    </row>
    <row r="32" spans="1:18" x14ac:dyDescent="0.25">
      <c r="A32" t="s">
        <v>121</v>
      </c>
      <c r="B32" t="s">
        <v>37</v>
      </c>
      <c r="C32" t="s">
        <v>122</v>
      </c>
      <c r="D32">
        <v>5</v>
      </c>
      <c r="E32" s="1">
        <v>0</v>
      </c>
      <c r="F32">
        <v>110.1</v>
      </c>
      <c r="G32">
        <v>0</v>
      </c>
      <c r="H32">
        <v>0</v>
      </c>
      <c r="I32" t="s">
        <v>21</v>
      </c>
      <c r="J32" t="s">
        <v>22</v>
      </c>
      <c r="K32" t="s">
        <v>23</v>
      </c>
      <c r="L32">
        <v>-22.186751000000001</v>
      </c>
      <c r="M32">
        <v>133.946448</v>
      </c>
      <c r="N32">
        <v>53</v>
      </c>
      <c r="O32">
        <v>391390</v>
      </c>
      <c r="P32">
        <v>7546125</v>
      </c>
      <c r="Q32" t="s">
        <v>24</v>
      </c>
      <c r="R32" s="2" t="s">
        <v>123</v>
      </c>
    </row>
    <row r="33" spans="1:18" x14ac:dyDescent="0.25">
      <c r="A33" t="s">
        <v>124</v>
      </c>
      <c r="B33" t="s">
        <v>37</v>
      </c>
      <c r="C33" t="s">
        <v>125</v>
      </c>
      <c r="D33">
        <v>3</v>
      </c>
      <c r="E33" s="1">
        <v>0</v>
      </c>
      <c r="F33">
        <v>106.9</v>
      </c>
      <c r="G33">
        <v>0</v>
      </c>
      <c r="H33">
        <v>0</v>
      </c>
      <c r="I33" t="s">
        <v>21</v>
      </c>
      <c r="J33" t="s">
        <v>22</v>
      </c>
      <c r="K33" t="s">
        <v>23</v>
      </c>
      <c r="L33">
        <v>-22.186689999999999</v>
      </c>
      <c r="M33">
        <v>133.94674900000001</v>
      </c>
      <c r="N33">
        <v>53</v>
      </c>
      <c r="O33">
        <v>391421</v>
      </c>
      <c r="P33">
        <v>7546132</v>
      </c>
      <c r="Q33" t="s">
        <v>24</v>
      </c>
      <c r="R33" s="2" t="s">
        <v>126</v>
      </c>
    </row>
    <row r="34" spans="1:18" x14ac:dyDescent="0.25">
      <c r="A34" t="s">
        <v>127</v>
      </c>
      <c r="B34" t="s">
        <v>30</v>
      </c>
      <c r="C34" t="s">
        <v>128</v>
      </c>
      <c r="D34">
        <v>6</v>
      </c>
      <c r="E34" s="1">
        <v>0</v>
      </c>
      <c r="F34">
        <v>83</v>
      </c>
      <c r="G34">
        <v>0</v>
      </c>
      <c r="H34">
        <v>14.6</v>
      </c>
      <c r="I34" t="s">
        <v>21</v>
      </c>
      <c r="J34" t="s">
        <v>22</v>
      </c>
      <c r="K34" t="s">
        <v>23</v>
      </c>
      <c r="L34">
        <v>-22.418581</v>
      </c>
      <c r="M34">
        <v>133.60596000000001</v>
      </c>
      <c r="N34">
        <v>53</v>
      </c>
      <c r="O34">
        <v>356522</v>
      </c>
      <c r="P34">
        <v>7520175</v>
      </c>
      <c r="Q34" t="s">
        <v>24</v>
      </c>
      <c r="R34" s="2" t="s">
        <v>129</v>
      </c>
    </row>
    <row r="35" spans="1:18" x14ac:dyDescent="0.25">
      <c r="A35" t="s">
        <v>130</v>
      </c>
      <c r="B35" t="s">
        <v>131</v>
      </c>
      <c r="C35" t="s">
        <v>132</v>
      </c>
      <c r="D35">
        <v>13</v>
      </c>
      <c r="E35" s="1">
        <v>0</v>
      </c>
      <c r="F35">
        <v>102.5</v>
      </c>
      <c r="G35">
        <v>66.7</v>
      </c>
      <c r="H35">
        <v>0</v>
      </c>
      <c r="I35" t="s">
        <v>21</v>
      </c>
      <c r="J35" t="s">
        <v>22</v>
      </c>
      <c r="K35" t="s">
        <v>23</v>
      </c>
      <c r="L35">
        <v>-22.154468999999999</v>
      </c>
      <c r="M35">
        <v>133.322351</v>
      </c>
      <c r="N35">
        <v>53</v>
      </c>
      <c r="O35">
        <v>327002</v>
      </c>
      <c r="P35">
        <v>7549120</v>
      </c>
      <c r="Q35" t="s">
        <v>24</v>
      </c>
      <c r="R35" s="2" t="s">
        <v>133</v>
      </c>
    </row>
    <row r="36" spans="1:18" x14ac:dyDescent="0.25">
      <c r="A36" t="s">
        <v>134</v>
      </c>
      <c r="B36" t="s">
        <v>37</v>
      </c>
      <c r="C36" t="s">
        <v>135</v>
      </c>
      <c r="D36">
        <v>25</v>
      </c>
      <c r="E36" s="1">
        <v>0</v>
      </c>
      <c r="F36">
        <v>345.3</v>
      </c>
      <c r="G36">
        <v>271.8</v>
      </c>
      <c r="H36">
        <v>29.7</v>
      </c>
      <c r="I36" t="s">
        <v>21</v>
      </c>
      <c r="J36" t="s">
        <v>22</v>
      </c>
      <c r="K36" t="s">
        <v>23</v>
      </c>
      <c r="L36">
        <v>-22.282629</v>
      </c>
      <c r="M36">
        <v>133.416978</v>
      </c>
      <c r="N36">
        <v>53</v>
      </c>
      <c r="O36">
        <v>336910</v>
      </c>
      <c r="P36">
        <v>7535035</v>
      </c>
      <c r="Q36" t="s">
        <v>24</v>
      </c>
      <c r="R36" s="2" t="s">
        <v>136</v>
      </c>
    </row>
    <row r="37" spans="1:18" x14ac:dyDescent="0.25">
      <c r="A37" t="s">
        <v>137</v>
      </c>
      <c r="B37" t="s">
        <v>37</v>
      </c>
      <c r="C37" t="s">
        <v>138</v>
      </c>
      <c r="D37">
        <v>8</v>
      </c>
      <c r="E37" s="1">
        <v>0</v>
      </c>
      <c r="F37">
        <v>51</v>
      </c>
      <c r="G37">
        <v>51</v>
      </c>
      <c r="H37">
        <v>0</v>
      </c>
      <c r="I37" t="s">
        <v>21</v>
      </c>
      <c r="J37" t="s">
        <v>22</v>
      </c>
      <c r="K37" t="s">
        <v>23</v>
      </c>
      <c r="L37">
        <v>-22.222341</v>
      </c>
      <c r="M37">
        <v>133.43557200000001</v>
      </c>
      <c r="N37">
        <v>53</v>
      </c>
      <c r="O37">
        <v>338757</v>
      </c>
      <c r="P37">
        <v>7541730</v>
      </c>
      <c r="Q37" t="s">
        <v>24</v>
      </c>
      <c r="R37" s="2" t="s">
        <v>139</v>
      </c>
    </row>
    <row r="38" spans="1:18" x14ac:dyDescent="0.25">
      <c r="A38" t="s">
        <v>140</v>
      </c>
      <c r="B38" t="s">
        <v>37</v>
      </c>
      <c r="C38" t="s">
        <v>141</v>
      </c>
      <c r="D38">
        <v>3</v>
      </c>
      <c r="E38" s="1">
        <v>0</v>
      </c>
      <c r="F38">
        <v>60.7</v>
      </c>
      <c r="G38">
        <v>57</v>
      </c>
      <c r="H38">
        <v>0</v>
      </c>
      <c r="I38" t="s">
        <v>21</v>
      </c>
      <c r="J38" t="s">
        <v>22</v>
      </c>
      <c r="K38" t="s">
        <v>23</v>
      </c>
      <c r="L38">
        <v>-22.255769000000001</v>
      </c>
      <c r="M38">
        <v>133.443196</v>
      </c>
      <c r="N38">
        <v>53</v>
      </c>
      <c r="O38">
        <v>339581</v>
      </c>
      <c r="P38">
        <v>7538037</v>
      </c>
      <c r="Q38" t="s">
        <v>24</v>
      </c>
      <c r="R38" s="2" t="s">
        <v>142</v>
      </c>
    </row>
    <row r="39" spans="1:18" x14ac:dyDescent="0.25">
      <c r="A39" t="s">
        <v>143</v>
      </c>
      <c r="B39" t="s">
        <v>59</v>
      </c>
      <c r="C39" t="s">
        <v>144</v>
      </c>
      <c r="D39">
        <v>3.3</v>
      </c>
      <c r="E39" s="1">
        <v>0</v>
      </c>
      <c r="F39">
        <v>50.6</v>
      </c>
      <c r="G39">
        <v>50.5</v>
      </c>
      <c r="H39">
        <v>12.56</v>
      </c>
      <c r="I39" t="s">
        <v>74</v>
      </c>
      <c r="J39" t="s">
        <v>145</v>
      </c>
      <c r="K39" t="s">
        <v>23</v>
      </c>
      <c r="L39">
        <v>-22.187733000000001</v>
      </c>
      <c r="M39">
        <v>133.45566299999999</v>
      </c>
      <c r="N39">
        <v>53</v>
      </c>
      <c r="O39">
        <v>340789</v>
      </c>
      <c r="P39">
        <v>7545583</v>
      </c>
      <c r="Q39" t="s">
        <v>24</v>
      </c>
      <c r="R39" s="2" t="s">
        <v>146</v>
      </c>
    </row>
    <row r="40" spans="1:18" x14ac:dyDescent="0.25">
      <c r="A40" t="s">
        <v>147</v>
      </c>
      <c r="B40" t="s">
        <v>37</v>
      </c>
      <c r="C40" t="s">
        <v>148</v>
      </c>
      <c r="D40">
        <v>0.9</v>
      </c>
      <c r="E40" s="1">
        <v>0</v>
      </c>
      <c r="F40">
        <v>54.3</v>
      </c>
      <c r="G40">
        <v>54.3</v>
      </c>
      <c r="H40">
        <v>0</v>
      </c>
      <c r="I40" t="s">
        <v>21</v>
      </c>
      <c r="J40" t="s">
        <v>22</v>
      </c>
      <c r="K40" t="s">
        <v>23</v>
      </c>
      <c r="L40">
        <v>-22.14002</v>
      </c>
      <c r="M40">
        <v>133.39886799999999</v>
      </c>
      <c r="N40">
        <v>53</v>
      </c>
      <c r="O40">
        <v>334877</v>
      </c>
      <c r="P40">
        <v>7550805</v>
      </c>
      <c r="Q40" t="s">
        <v>24</v>
      </c>
      <c r="R40" s="2" t="s">
        <v>149</v>
      </c>
    </row>
    <row r="41" spans="1:18" x14ac:dyDescent="0.25">
      <c r="A41" t="s">
        <v>150</v>
      </c>
      <c r="B41" t="s">
        <v>37</v>
      </c>
      <c r="C41" t="s">
        <v>151</v>
      </c>
      <c r="D41">
        <v>4</v>
      </c>
      <c r="E41" s="1">
        <v>0</v>
      </c>
      <c r="F41">
        <v>56</v>
      </c>
      <c r="G41">
        <v>56</v>
      </c>
      <c r="H41">
        <v>0</v>
      </c>
      <c r="I41" t="s">
        <v>21</v>
      </c>
      <c r="J41" t="s">
        <v>22</v>
      </c>
      <c r="K41" t="s">
        <v>23</v>
      </c>
      <c r="L41">
        <v>-22.223208</v>
      </c>
      <c r="M41">
        <v>133.427133</v>
      </c>
      <c r="N41">
        <v>53</v>
      </c>
      <c r="O41">
        <v>337888</v>
      </c>
      <c r="P41">
        <v>7541625</v>
      </c>
      <c r="Q41" t="s">
        <v>24</v>
      </c>
      <c r="R41" s="2" t="s">
        <v>152</v>
      </c>
    </row>
    <row r="42" spans="1:18" x14ac:dyDescent="0.25">
      <c r="A42" t="s">
        <v>153</v>
      </c>
      <c r="B42" t="s">
        <v>37</v>
      </c>
      <c r="C42" t="s">
        <v>154</v>
      </c>
      <c r="D42">
        <v>0.1</v>
      </c>
      <c r="E42" s="1">
        <v>0</v>
      </c>
      <c r="F42">
        <v>15.5</v>
      </c>
      <c r="G42">
        <v>15.5</v>
      </c>
      <c r="H42">
        <v>0</v>
      </c>
      <c r="I42" t="s">
        <v>21</v>
      </c>
      <c r="J42" t="s">
        <v>22</v>
      </c>
      <c r="K42" t="s">
        <v>23</v>
      </c>
      <c r="L42">
        <v>-22.132899999999999</v>
      </c>
      <c r="M42">
        <v>133.443397</v>
      </c>
      <c r="N42">
        <v>53</v>
      </c>
      <c r="O42">
        <v>339462</v>
      </c>
      <c r="P42">
        <v>7551641</v>
      </c>
      <c r="Q42" t="s">
        <v>24</v>
      </c>
      <c r="R42" s="2" t="s">
        <v>155</v>
      </c>
    </row>
    <row r="43" spans="1:18" x14ac:dyDescent="0.25">
      <c r="A43" t="s">
        <v>156</v>
      </c>
      <c r="B43" t="s">
        <v>37</v>
      </c>
      <c r="C43" t="s">
        <v>157</v>
      </c>
      <c r="D43">
        <v>0.1</v>
      </c>
      <c r="E43" s="1">
        <v>0</v>
      </c>
      <c r="F43">
        <v>19.2</v>
      </c>
      <c r="G43">
        <v>19.2</v>
      </c>
      <c r="H43">
        <v>0</v>
      </c>
      <c r="I43" t="s">
        <v>21</v>
      </c>
      <c r="J43" t="s">
        <v>22</v>
      </c>
      <c r="K43" t="s">
        <v>23</v>
      </c>
      <c r="L43">
        <v>-22.094826999999999</v>
      </c>
      <c r="M43">
        <v>133.42330699999999</v>
      </c>
      <c r="N43">
        <v>53</v>
      </c>
      <c r="O43">
        <v>337346</v>
      </c>
      <c r="P43">
        <v>7555835</v>
      </c>
      <c r="Q43" t="s">
        <v>24</v>
      </c>
      <c r="R43" s="2" t="s">
        <v>158</v>
      </c>
    </row>
    <row r="44" spans="1:18" x14ac:dyDescent="0.25">
      <c r="A44" t="s">
        <v>159</v>
      </c>
      <c r="B44" t="s">
        <v>37</v>
      </c>
      <c r="C44" t="s">
        <v>160</v>
      </c>
      <c r="D44">
        <v>0.5</v>
      </c>
      <c r="E44" s="1">
        <v>0</v>
      </c>
      <c r="F44">
        <v>29.9</v>
      </c>
      <c r="G44">
        <v>29.9</v>
      </c>
      <c r="H44">
        <v>0</v>
      </c>
      <c r="I44" t="s">
        <v>21</v>
      </c>
      <c r="J44" t="s">
        <v>22</v>
      </c>
      <c r="K44" t="s">
        <v>23</v>
      </c>
      <c r="L44">
        <v>-22.163176</v>
      </c>
      <c r="M44">
        <v>133.44156100000001</v>
      </c>
      <c r="N44">
        <v>53</v>
      </c>
      <c r="O44">
        <v>339307</v>
      </c>
      <c r="P44">
        <v>7548287</v>
      </c>
      <c r="Q44" t="s">
        <v>24</v>
      </c>
      <c r="R44" s="2" t="s">
        <v>161</v>
      </c>
    </row>
    <row r="45" spans="1:18" x14ac:dyDescent="0.25">
      <c r="A45" t="s">
        <v>162</v>
      </c>
      <c r="B45" t="s">
        <v>37</v>
      </c>
      <c r="C45" t="s">
        <v>163</v>
      </c>
      <c r="D45">
        <v>0.9</v>
      </c>
      <c r="E45" s="1">
        <v>0</v>
      </c>
      <c r="F45">
        <v>55.8</v>
      </c>
      <c r="G45">
        <v>55.8</v>
      </c>
      <c r="H45">
        <v>0</v>
      </c>
      <c r="I45" t="s">
        <v>21</v>
      </c>
      <c r="J45" t="s">
        <v>22</v>
      </c>
      <c r="K45" t="s">
        <v>23</v>
      </c>
      <c r="L45">
        <v>-22.146208999999999</v>
      </c>
      <c r="M45">
        <v>133.251318</v>
      </c>
      <c r="N45">
        <v>53</v>
      </c>
      <c r="O45">
        <v>319665</v>
      </c>
      <c r="P45">
        <v>7549952</v>
      </c>
      <c r="Q45" t="s">
        <v>24</v>
      </c>
      <c r="R45" s="2" t="s">
        <v>164</v>
      </c>
    </row>
    <row r="46" spans="1:18" x14ac:dyDescent="0.25">
      <c r="A46" t="s">
        <v>165</v>
      </c>
      <c r="B46" t="s">
        <v>37</v>
      </c>
      <c r="C46" t="s">
        <v>166</v>
      </c>
      <c r="D46">
        <v>0.8</v>
      </c>
      <c r="E46" s="1">
        <v>0</v>
      </c>
      <c r="F46">
        <v>61</v>
      </c>
      <c r="G46">
        <v>61</v>
      </c>
      <c r="H46">
        <v>0</v>
      </c>
      <c r="I46" t="s">
        <v>21</v>
      </c>
      <c r="J46" t="s">
        <v>22</v>
      </c>
      <c r="K46" t="s">
        <v>23</v>
      </c>
      <c r="L46">
        <v>-22.206928000000001</v>
      </c>
      <c r="M46">
        <v>133.285405</v>
      </c>
      <c r="N46">
        <v>53</v>
      </c>
      <c r="O46">
        <v>323257</v>
      </c>
      <c r="P46">
        <v>7543269</v>
      </c>
      <c r="Q46" t="s">
        <v>24</v>
      </c>
      <c r="R46" s="2" t="s">
        <v>167</v>
      </c>
    </row>
    <row r="47" spans="1:18" x14ac:dyDescent="0.25">
      <c r="A47" t="s">
        <v>168</v>
      </c>
      <c r="B47" t="s">
        <v>59</v>
      </c>
      <c r="C47" t="s">
        <v>169</v>
      </c>
      <c r="D47">
        <v>3.8</v>
      </c>
      <c r="E47" s="1">
        <v>0</v>
      </c>
      <c r="F47">
        <v>91.7</v>
      </c>
      <c r="G47">
        <v>91.7</v>
      </c>
      <c r="H47">
        <v>0</v>
      </c>
      <c r="I47" t="s">
        <v>21</v>
      </c>
      <c r="K47" t="s">
        <v>23</v>
      </c>
      <c r="L47">
        <v>-22.230139999999999</v>
      </c>
      <c r="M47">
        <v>133.401658</v>
      </c>
      <c r="N47">
        <v>53</v>
      </c>
      <c r="O47">
        <v>335270</v>
      </c>
      <c r="P47">
        <v>7540830</v>
      </c>
      <c r="Q47" t="s">
        <v>24</v>
      </c>
      <c r="R47" s="2" t="s">
        <v>170</v>
      </c>
    </row>
    <row r="48" spans="1:18" x14ac:dyDescent="0.25">
      <c r="A48" t="s">
        <v>171</v>
      </c>
      <c r="B48" t="s">
        <v>37</v>
      </c>
      <c r="C48" t="s">
        <v>172</v>
      </c>
      <c r="D48">
        <v>4.5</v>
      </c>
      <c r="E48" s="1">
        <v>0</v>
      </c>
      <c r="F48">
        <v>49.6</v>
      </c>
      <c r="G48">
        <v>49.6</v>
      </c>
      <c r="H48">
        <v>0</v>
      </c>
      <c r="I48" t="s">
        <v>21</v>
      </c>
      <c r="J48" t="s">
        <v>22</v>
      </c>
      <c r="K48" t="s">
        <v>23</v>
      </c>
      <c r="L48">
        <v>-22.154934000000001</v>
      </c>
      <c r="M48">
        <v>133.409267</v>
      </c>
      <c r="N48">
        <v>53</v>
      </c>
      <c r="O48">
        <v>335967</v>
      </c>
      <c r="P48">
        <v>7549165</v>
      </c>
      <c r="Q48" t="s">
        <v>24</v>
      </c>
      <c r="R48" s="2" t="s">
        <v>173</v>
      </c>
    </row>
    <row r="49" spans="1:18" x14ac:dyDescent="0.25">
      <c r="A49" t="s">
        <v>174</v>
      </c>
      <c r="B49" t="s">
        <v>37</v>
      </c>
      <c r="C49" t="s">
        <v>175</v>
      </c>
      <c r="D49">
        <v>1</v>
      </c>
      <c r="E49" s="1">
        <v>0</v>
      </c>
      <c r="F49">
        <v>36.5</v>
      </c>
      <c r="G49">
        <v>36.5</v>
      </c>
      <c r="H49">
        <v>14.6</v>
      </c>
      <c r="I49" t="s">
        <v>21</v>
      </c>
      <c r="J49" t="s">
        <v>22</v>
      </c>
      <c r="K49" t="s">
        <v>23</v>
      </c>
      <c r="L49">
        <v>-22.204063999999999</v>
      </c>
      <c r="M49">
        <v>133.40980999999999</v>
      </c>
      <c r="N49">
        <v>53</v>
      </c>
      <c r="O49">
        <v>336080</v>
      </c>
      <c r="P49">
        <v>7543726</v>
      </c>
      <c r="Q49" t="s">
        <v>24</v>
      </c>
      <c r="R49" s="2" t="s">
        <v>176</v>
      </c>
    </row>
  </sheetData>
  <hyperlinks>
    <hyperlink ref="R2" r:id="rId1" xr:uid="{8C55E8E2-5C67-46B2-B7F1-5891471A8AE8}"/>
    <hyperlink ref="R3" r:id="rId2" xr:uid="{614A420F-24E4-48D9-AA21-119D24057131}"/>
    <hyperlink ref="R4" r:id="rId3" xr:uid="{7A95936A-FEA9-4F86-B6A9-517284E09F0F}"/>
    <hyperlink ref="R5" r:id="rId4" xr:uid="{34878E3B-10A3-4AB1-8BE5-5B54DB42A14F}"/>
    <hyperlink ref="R6" r:id="rId5" xr:uid="{8B9D5F28-AD0D-4F79-BE4B-E0B1D777B33D}"/>
    <hyperlink ref="R7" r:id="rId6" xr:uid="{6A68B4CF-B558-42BE-A9F0-A94A6005F276}"/>
    <hyperlink ref="R8" r:id="rId7" xr:uid="{CB34A53F-5875-4F8B-999B-723099FA88DC}"/>
    <hyperlink ref="R9" r:id="rId8" xr:uid="{CB4F126F-786D-4D50-B57B-BB011323077A}"/>
    <hyperlink ref="R10" r:id="rId9" xr:uid="{52FBDDC3-18B0-4A33-A1D8-5A57DE8AC76D}"/>
    <hyperlink ref="R11" r:id="rId10" xr:uid="{B7CBC043-3D87-4D3D-9026-E39CB819F69D}"/>
    <hyperlink ref="R12" r:id="rId11" xr:uid="{43229399-6852-471A-A333-88988B749AF5}"/>
    <hyperlink ref="R13" r:id="rId12" xr:uid="{AC2ACD1F-842C-4FC2-A100-24FC4BC055A6}"/>
    <hyperlink ref="R14" r:id="rId13" xr:uid="{1B062EE1-4272-4B16-8C2F-D3E92AA0D0FF}"/>
    <hyperlink ref="R15" r:id="rId14" xr:uid="{1DFA5647-D7EA-4FD6-A5BC-3F07CC8528AB}"/>
    <hyperlink ref="R16" r:id="rId15" xr:uid="{C75BA5FA-7BC2-424C-BC59-0AF96BA42C1E}"/>
    <hyperlink ref="R17" r:id="rId16" xr:uid="{6A3A88BC-E796-4D16-B0E9-68E0AC972884}"/>
    <hyperlink ref="R18" r:id="rId17" xr:uid="{9C73CB10-C34B-4D11-A630-FDED36949414}"/>
    <hyperlink ref="R19" r:id="rId18" xr:uid="{6782862F-1097-4AC1-B40C-A0CD7220C10B}"/>
    <hyperlink ref="R20" r:id="rId19" xr:uid="{F4CB2773-BBE6-4776-813D-C052B8A501C7}"/>
    <hyperlink ref="R21" r:id="rId20" xr:uid="{52DFA953-779C-4678-86BA-6288DFA466C6}"/>
    <hyperlink ref="R22" r:id="rId21" xr:uid="{69D4A2A0-A541-47CF-9AD6-91F40AE36795}"/>
    <hyperlink ref="R23" r:id="rId22" xr:uid="{B57D1490-F84B-4B24-80C4-E209D958C3F4}"/>
    <hyperlink ref="R24" r:id="rId23" xr:uid="{506DE9D0-1926-4964-9C7C-7436D7D78EC0}"/>
    <hyperlink ref="R25" r:id="rId24" xr:uid="{7EFD0EE0-3104-4F76-AF41-22F1FDB79AA7}"/>
    <hyperlink ref="R26" r:id="rId25" xr:uid="{ECC6638D-1F79-4F64-9D78-B833E6E0AAC2}"/>
    <hyperlink ref="R27" r:id="rId26" xr:uid="{CB47B325-49AF-44EA-B358-09719CBCFADC}"/>
    <hyperlink ref="R28" r:id="rId27" xr:uid="{CCC1EF94-8E10-414C-804F-EBB5558AB8C2}"/>
    <hyperlink ref="R29" r:id="rId28" xr:uid="{44BAE402-A460-4975-A36E-A164626D58B9}"/>
    <hyperlink ref="R30" r:id="rId29" xr:uid="{E3B064D7-3F12-4BA6-8D35-AEA9F0DE7741}"/>
    <hyperlink ref="R31" r:id="rId30" xr:uid="{C46B725C-7E98-45AA-8555-87B4C532841F}"/>
    <hyperlink ref="R32" r:id="rId31" xr:uid="{1B4D9D28-2235-4F1B-AF7E-5AC85D2627D2}"/>
    <hyperlink ref="R33" r:id="rId32" xr:uid="{9CFBADFE-3C06-4315-99C4-1BED7BCA412D}"/>
    <hyperlink ref="R34" r:id="rId33" xr:uid="{B276B966-E85B-4FCA-A8D5-3DB807A10C58}"/>
    <hyperlink ref="R35" r:id="rId34" xr:uid="{E157CB14-8214-49B9-B27D-A24E3E6022B7}"/>
    <hyperlink ref="R36" r:id="rId35" xr:uid="{DCF34B1E-7F9E-4F4D-9189-205CC7FE239F}"/>
    <hyperlink ref="R37" r:id="rId36" xr:uid="{5301EA7D-161A-4E57-B694-FA7F0DAD985C}"/>
    <hyperlink ref="R38" r:id="rId37" xr:uid="{6031CD65-3A55-45D5-99FA-96E57C936668}"/>
    <hyperlink ref="R39" r:id="rId38" xr:uid="{B57FEB1E-59D8-4928-8A31-3B2C870CCCD6}"/>
    <hyperlink ref="R40" r:id="rId39" xr:uid="{DB065EA7-EB49-4D43-B00A-3C668BB2E460}"/>
    <hyperlink ref="R41" r:id="rId40" xr:uid="{51B5210A-D48E-423F-AF17-E7873EBECF20}"/>
    <hyperlink ref="R42" r:id="rId41" xr:uid="{26F6484E-265B-472B-9B88-7E9FAA7FE154}"/>
    <hyperlink ref="R43" r:id="rId42" xr:uid="{F8784155-AFC4-48A2-BB50-111947B2B240}"/>
    <hyperlink ref="R44" r:id="rId43" xr:uid="{96A1593F-4620-4B5F-81B4-808B1CF64932}"/>
    <hyperlink ref="R45" r:id="rId44" xr:uid="{0ED917B3-8B13-4B21-A4A2-B2F3952889BA}"/>
    <hyperlink ref="R46" r:id="rId45" xr:uid="{48C004DF-1FFF-4168-8491-35212DCE9601}"/>
    <hyperlink ref="R47" r:id="rId46" xr:uid="{12AFD054-AEA1-4850-AF0A-720358C308D8}"/>
    <hyperlink ref="R48" r:id="rId47" xr:uid="{53A809CB-33F1-42D9-91DA-DE6883305DC1}"/>
    <hyperlink ref="R49" r:id="rId48" xr:uid="{C76A2274-13FD-4C3F-8485-E4FF23E4C35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DC7F-97D2-4DAE-A0FC-B18D3803FA1B}">
  <dimension ref="A1:R13"/>
  <sheetViews>
    <sheetView tabSelected="1" workbookViewId="0">
      <selection activeCell="B14" sqref="B14"/>
    </sheetView>
  </sheetViews>
  <sheetFormatPr defaultRowHeight="15" x14ac:dyDescent="0.25"/>
  <sheetData>
    <row r="1" spans="1:18" x14ac:dyDescent="0.25">
      <c r="A1" t="s">
        <v>177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65</v>
      </c>
      <c r="B2" t="str">
        <f>_xlfn.XLOOKUP($A2,Bores_w_wl_data!$A:$A,Bores_w_wl_data!B:B)</f>
        <v>Monitoring Bore Ti Tree Area</v>
      </c>
      <c r="C2" t="str">
        <f>_xlfn.XLOOKUP($A2,Bores_w_wl_data!$A:$A,Bores_w_wl_data!C:C)</f>
        <v>http://www.ntlis.nt.gov.au/hpa-services/borereport?bore=RN005723</v>
      </c>
      <c r="D2">
        <f>_xlfn.XLOOKUP($A2,Bores_w_wl_data!$A:$A,Bores_w_wl_data!D:D)</f>
        <v>8.4</v>
      </c>
      <c r="E2">
        <f>_xlfn.XLOOKUP($A2,Bores_w_wl_data!$A:$A,Bores_w_wl_data!E:E)</f>
        <v>0</v>
      </c>
      <c r="F2">
        <f>_xlfn.XLOOKUP($A2,Bores_w_wl_data!$A:$A,Bores_w_wl_data!F:F)</f>
        <v>61</v>
      </c>
      <c r="G2">
        <f>_xlfn.XLOOKUP($A2,Bores_w_wl_data!$A:$A,Bores_w_wl_data!G:G)</f>
        <v>0</v>
      </c>
      <c r="H2">
        <f>_xlfn.XLOOKUP($A2,Bores_w_wl_data!$A:$A,Bores_w_wl_data!H:H)</f>
        <v>0</v>
      </c>
      <c r="I2" t="str">
        <f>_xlfn.XLOOKUP($A2,Bores_w_wl_data!$A:$A,Bores_w_wl_data!I:I)</f>
        <v>Monitoring</v>
      </c>
      <c r="J2">
        <f>_xlfn.XLOOKUP($A2,Bores_w_wl_data!$A:$A,Bores_w_wl_data!J:J)</f>
        <v>0</v>
      </c>
      <c r="K2" t="str">
        <f>_xlfn.XLOOKUP($A2,Bores_w_wl_data!$A:$A,Bores_w_wl_data!K:K)</f>
        <v>Current</v>
      </c>
      <c r="L2">
        <f>_xlfn.XLOOKUP($A2,Bores_w_wl_data!$A:$A,Bores_w_wl_data!L:L)</f>
        <v>-22.201708</v>
      </c>
      <c r="M2">
        <f>_xlfn.XLOOKUP($A2,Bores_w_wl_data!$A:$A,Bores_w_wl_data!M:M)</f>
        <v>133.41371599999999</v>
      </c>
      <c r="N2">
        <f>_xlfn.XLOOKUP($A2,Bores_w_wl_data!$A:$A,Bores_w_wl_data!N:N)</f>
        <v>53</v>
      </c>
      <c r="O2">
        <f>_xlfn.XLOOKUP($A2,Bores_w_wl_data!$A:$A,Bores_w_wl_data!O:O)</f>
        <v>336480</v>
      </c>
      <c r="P2">
        <f>_xlfn.XLOOKUP($A2,Bores_w_wl_data!$A:$A,Bores_w_wl_data!P:P)</f>
        <v>7543991</v>
      </c>
      <c r="Q2" t="str">
        <f>_xlfn.XLOOKUP($A2,Bores_w_wl_data!$A:$A,Bores_w_wl_data!Q:Q)</f>
        <v>GPS</v>
      </c>
      <c r="R2" t="str">
        <f>_xlfn.XLOOKUP($A2,Bores_w_wl_data!$A:$A,Bores_w_wl_data!R:R)</f>
        <v>https://ntg.aquaticinformatics.net/AQWebportal/Data/Location/Summary/Location/RN005723/Interval/Latest</v>
      </c>
    </row>
    <row r="3" spans="1:18" x14ac:dyDescent="0.25">
      <c r="A3" t="s">
        <v>168</v>
      </c>
      <c r="B3" t="str">
        <f>_xlfn.XLOOKUP($A3,Bores_w_wl_data!$A:$A,Bores_w_wl_data!B:B)</f>
        <v>Monitoring Bore Ti Tree Area</v>
      </c>
      <c r="C3" t="str">
        <f>_xlfn.XLOOKUP($A3,Bores_w_wl_data!$A:$A,Bores_w_wl_data!C:C)</f>
        <v>http://www.ntlis.nt.gov.au/hpa-services/borereport?bore=RN006543</v>
      </c>
      <c r="D3">
        <f>_xlfn.XLOOKUP($A3,Bores_w_wl_data!$A:$A,Bores_w_wl_data!D:D)</f>
        <v>3.8</v>
      </c>
      <c r="E3">
        <f>_xlfn.XLOOKUP($A3,Bores_w_wl_data!$A:$A,Bores_w_wl_data!E:E)</f>
        <v>0</v>
      </c>
      <c r="F3">
        <f>_xlfn.XLOOKUP($A3,Bores_w_wl_data!$A:$A,Bores_w_wl_data!F:F)</f>
        <v>91.7</v>
      </c>
      <c r="G3">
        <f>_xlfn.XLOOKUP($A3,Bores_w_wl_data!$A:$A,Bores_w_wl_data!G:G)</f>
        <v>91.7</v>
      </c>
      <c r="H3">
        <f>_xlfn.XLOOKUP($A3,Bores_w_wl_data!$A:$A,Bores_w_wl_data!H:H)</f>
        <v>0</v>
      </c>
      <c r="I3" t="str">
        <f>_xlfn.XLOOKUP($A3,Bores_w_wl_data!$A:$A,Bores_w_wl_data!I:I)</f>
        <v>Monitoring</v>
      </c>
      <c r="J3">
        <f>_xlfn.XLOOKUP($A3,Bores_w_wl_data!$A:$A,Bores_w_wl_data!J:J)</f>
        <v>0</v>
      </c>
      <c r="K3" t="str">
        <f>_xlfn.XLOOKUP($A3,Bores_w_wl_data!$A:$A,Bores_w_wl_data!K:K)</f>
        <v>Current</v>
      </c>
      <c r="L3">
        <f>_xlfn.XLOOKUP($A3,Bores_w_wl_data!$A:$A,Bores_w_wl_data!L:L)</f>
        <v>-22.230139999999999</v>
      </c>
      <c r="M3">
        <f>_xlfn.XLOOKUP($A3,Bores_w_wl_data!$A:$A,Bores_w_wl_data!M:M)</f>
        <v>133.401658</v>
      </c>
      <c r="N3">
        <f>_xlfn.XLOOKUP($A3,Bores_w_wl_data!$A:$A,Bores_w_wl_data!N:N)</f>
        <v>53</v>
      </c>
      <c r="O3">
        <f>_xlfn.XLOOKUP($A3,Bores_w_wl_data!$A:$A,Bores_w_wl_data!O:O)</f>
        <v>335270</v>
      </c>
      <c r="P3">
        <f>_xlfn.XLOOKUP($A3,Bores_w_wl_data!$A:$A,Bores_w_wl_data!P:P)</f>
        <v>7540830</v>
      </c>
      <c r="Q3" t="str">
        <f>_xlfn.XLOOKUP($A3,Bores_w_wl_data!$A:$A,Bores_w_wl_data!Q:Q)</f>
        <v>GPS</v>
      </c>
      <c r="R3" t="str">
        <f>_xlfn.XLOOKUP($A3,Bores_w_wl_data!$A:$A,Bores_w_wl_data!R:R)</f>
        <v>https://ntg.aquaticinformatics.net/AQWebportal/Data/Location/Summary/Location/RN006543/Interval/Latest</v>
      </c>
    </row>
    <row r="4" spans="1:18" x14ac:dyDescent="0.25">
      <c r="A4" t="s">
        <v>29</v>
      </c>
      <c r="B4" t="str">
        <f>_xlfn.XLOOKUP($A4,Bores_w_wl_data!$A:$A,Bores_w_wl_data!B:B)</f>
        <v>Pine Hill Station</v>
      </c>
      <c r="C4" t="str">
        <f>_xlfn.XLOOKUP($A4,Bores_w_wl_data!$A:$A,Bores_w_wl_data!C:C)</f>
        <v>http://www.ntlis.nt.gov.au/hpa-services/borereport?bore=RN012156</v>
      </c>
      <c r="D4">
        <f>_xlfn.XLOOKUP($A4,Bores_w_wl_data!$A:$A,Bores_w_wl_data!D:D)</f>
        <v>6</v>
      </c>
      <c r="E4">
        <f>_xlfn.XLOOKUP($A4,Bores_w_wl_data!$A:$A,Bores_w_wl_data!E:E)</f>
        <v>0</v>
      </c>
      <c r="F4">
        <f>_xlfn.XLOOKUP($A4,Bores_w_wl_data!$A:$A,Bores_w_wl_data!F:F)</f>
        <v>72.900000000000006</v>
      </c>
      <c r="G4">
        <f>_xlfn.XLOOKUP($A4,Bores_w_wl_data!$A:$A,Bores_w_wl_data!G:G)</f>
        <v>72.900000000000006</v>
      </c>
      <c r="H4">
        <f>_xlfn.XLOOKUP($A4,Bores_w_wl_data!$A:$A,Bores_w_wl_data!H:H)</f>
        <v>0</v>
      </c>
      <c r="I4" t="str">
        <f>_xlfn.XLOOKUP($A4,Bores_w_wl_data!$A:$A,Bores_w_wl_data!I:I)</f>
        <v>Monitoring</v>
      </c>
      <c r="J4" t="str">
        <f>_xlfn.XLOOKUP($A4,Bores_w_wl_data!$A:$A,Bores_w_wl_data!J:J)</f>
        <v>Constructed&amp;Capped</v>
      </c>
      <c r="K4" t="str">
        <f>_xlfn.XLOOKUP($A4,Bores_w_wl_data!$A:$A,Bores_w_wl_data!K:K)</f>
        <v>Current</v>
      </c>
      <c r="L4">
        <f>_xlfn.XLOOKUP($A4,Bores_w_wl_data!$A:$A,Bores_w_wl_data!L:L)</f>
        <v>-22.353915000000001</v>
      </c>
      <c r="M4">
        <f>_xlfn.XLOOKUP($A4,Bores_w_wl_data!$A:$A,Bores_w_wl_data!M:M)</f>
        <v>133.649125</v>
      </c>
      <c r="N4">
        <f>_xlfn.XLOOKUP($A4,Bores_w_wl_data!$A:$A,Bores_w_wl_data!N:N)</f>
        <v>53</v>
      </c>
      <c r="O4">
        <f>_xlfn.XLOOKUP($A4,Bores_w_wl_data!$A:$A,Bores_w_wl_data!O:O)</f>
        <v>360901</v>
      </c>
      <c r="P4">
        <f>_xlfn.XLOOKUP($A4,Bores_w_wl_data!$A:$A,Bores_w_wl_data!P:P)</f>
        <v>7527375</v>
      </c>
      <c r="Q4" t="str">
        <f>_xlfn.XLOOKUP($A4,Bores_w_wl_data!$A:$A,Bores_w_wl_data!Q:Q)</f>
        <v>GPS</v>
      </c>
      <c r="R4" t="str">
        <f>_xlfn.XLOOKUP($A4,Bores_w_wl_data!$A:$A,Bores_w_wl_data!R:R)</f>
        <v>https://ntg.aquaticinformatics.net/AQWebportal/Data/Location/Summary/Location/RN012156/Interval/Latest</v>
      </c>
    </row>
    <row r="5" spans="1:18" x14ac:dyDescent="0.25">
      <c r="A5" t="s">
        <v>92</v>
      </c>
      <c r="B5" t="str">
        <f>_xlfn.XLOOKUP($A5,Bores_w_wl_data!$A:$A,Bores_w_wl_data!B:B)</f>
        <v>Woodgreen Station</v>
      </c>
      <c r="C5" t="str">
        <f>_xlfn.XLOOKUP($A5,Bores_w_wl_data!$A:$A,Bores_w_wl_data!C:C)</f>
        <v>http://www.ntlis.nt.gov.au/hpa-services/borereport?bore=RN012581</v>
      </c>
      <c r="D5">
        <f>_xlfn.XLOOKUP($A5,Bores_w_wl_data!$A:$A,Bores_w_wl_data!D:D)</f>
        <v>10</v>
      </c>
      <c r="E5">
        <f>_xlfn.XLOOKUP($A5,Bores_w_wl_data!$A:$A,Bores_w_wl_data!E:E)</f>
        <v>0</v>
      </c>
      <c r="F5">
        <f>_xlfn.XLOOKUP($A5,Bores_w_wl_data!$A:$A,Bores_w_wl_data!F:F)</f>
        <v>162.6</v>
      </c>
      <c r="G5">
        <f>_xlfn.XLOOKUP($A5,Bores_w_wl_data!$A:$A,Bores_w_wl_data!G:G)</f>
        <v>162.6</v>
      </c>
      <c r="H5">
        <f>_xlfn.XLOOKUP($A5,Bores_w_wl_data!$A:$A,Bores_w_wl_data!H:H)</f>
        <v>0</v>
      </c>
      <c r="I5" t="str">
        <f>_xlfn.XLOOKUP($A5,Bores_w_wl_data!$A:$A,Bores_w_wl_data!I:I)</f>
        <v>Monitoring</v>
      </c>
      <c r="J5" t="str">
        <f>_xlfn.XLOOKUP($A5,Bores_w_wl_data!$A:$A,Bores_w_wl_data!J:J)</f>
        <v>Constructed&amp;Capped</v>
      </c>
      <c r="K5" t="str">
        <f>_xlfn.XLOOKUP($A5,Bores_w_wl_data!$A:$A,Bores_w_wl_data!K:K)</f>
        <v>Current</v>
      </c>
      <c r="L5">
        <f>_xlfn.XLOOKUP($A5,Bores_w_wl_data!$A:$A,Bores_w_wl_data!L:L)</f>
        <v>-22.43375</v>
      </c>
      <c r="M5">
        <f>_xlfn.XLOOKUP($A5,Bores_w_wl_data!$A:$A,Bores_w_wl_data!M:M)</f>
        <v>133.752072</v>
      </c>
      <c r="N5">
        <f>_xlfn.XLOOKUP($A5,Bores_w_wl_data!$A:$A,Bores_w_wl_data!N:N)</f>
        <v>53</v>
      </c>
      <c r="O5">
        <f>_xlfn.XLOOKUP($A5,Bores_w_wl_data!$A:$A,Bores_w_wl_data!O:O)</f>
        <v>371576</v>
      </c>
      <c r="P5">
        <f>_xlfn.XLOOKUP($A5,Bores_w_wl_data!$A:$A,Bores_w_wl_data!P:P)</f>
        <v>7518628</v>
      </c>
      <c r="Q5" t="str">
        <f>_xlfn.XLOOKUP($A5,Bores_w_wl_data!$A:$A,Bores_w_wl_data!Q:Q)</f>
        <v>GPS</v>
      </c>
      <c r="R5" t="str">
        <f>_xlfn.XLOOKUP($A5,Bores_w_wl_data!$A:$A,Bores_w_wl_data!R:R)</f>
        <v>https://ntg.aquaticinformatics.net/AQWebportal/Data/Location/Summary/Location/RN012581/Interval/Latest</v>
      </c>
    </row>
    <row r="6" spans="1:18" x14ac:dyDescent="0.25">
      <c r="A6" t="s">
        <v>121</v>
      </c>
      <c r="B6" t="str">
        <f>_xlfn.XLOOKUP($A6,Bores_w_wl_data!$A:$A,Bores_w_wl_data!B:B)</f>
        <v>Ti Tree Area</v>
      </c>
      <c r="C6" t="str">
        <f>_xlfn.XLOOKUP($A6,Bores_w_wl_data!$A:$A,Bores_w_wl_data!C:C)</f>
        <v>http://www.ntlis.nt.gov.au/hpa-services/borereport?bore=RN012594</v>
      </c>
      <c r="D6">
        <f>_xlfn.XLOOKUP($A6,Bores_w_wl_data!$A:$A,Bores_w_wl_data!D:D)</f>
        <v>5</v>
      </c>
      <c r="E6">
        <f>_xlfn.XLOOKUP($A6,Bores_w_wl_data!$A:$A,Bores_w_wl_data!E:E)</f>
        <v>0</v>
      </c>
      <c r="F6">
        <f>_xlfn.XLOOKUP($A6,Bores_w_wl_data!$A:$A,Bores_w_wl_data!F:F)</f>
        <v>110.1</v>
      </c>
      <c r="G6">
        <f>_xlfn.XLOOKUP($A6,Bores_w_wl_data!$A:$A,Bores_w_wl_data!G:G)</f>
        <v>0</v>
      </c>
      <c r="H6">
        <f>_xlfn.XLOOKUP($A6,Bores_w_wl_data!$A:$A,Bores_w_wl_data!H:H)</f>
        <v>0</v>
      </c>
      <c r="I6" t="str">
        <f>_xlfn.XLOOKUP($A6,Bores_w_wl_data!$A:$A,Bores_w_wl_data!I:I)</f>
        <v>Monitoring</v>
      </c>
      <c r="J6" t="str">
        <f>_xlfn.XLOOKUP($A6,Bores_w_wl_data!$A:$A,Bores_w_wl_data!J:J)</f>
        <v>Constructed&amp;Capped</v>
      </c>
      <c r="K6" t="str">
        <f>_xlfn.XLOOKUP($A6,Bores_w_wl_data!$A:$A,Bores_w_wl_data!K:K)</f>
        <v>Current</v>
      </c>
      <c r="L6">
        <f>_xlfn.XLOOKUP($A6,Bores_w_wl_data!$A:$A,Bores_w_wl_data!L:L)</f>
        <v>-22.186751000000001</v>
      </c>
      <c r="M6">
        <f>_xlfn.XLOOKUP($A6,Bores_w_wl_data!$A:$A,Bores_w_wl_data!M:M)</f>
        <v>133.946448</v>
      </c>
      <c r="N6">
        <f>_xlfn.XLOOKUP($A6,Bores_w_wl_data!$A:$A,Bores_w_wl_data!N:N)</f>
        <v>53</v>
      </c>
      <c r="O6">
        <f>_xlfn.XLOOKUP($A6,Bores_w_wl_data!$A:$A,Bores_w_wl_data!O:O)</f>
        <v>391390</v>
      </c>
      <c r="P6">
        <f>_xlfn.XLOOKUP($A6,Bores_w_wl_data!$A:$A,Bores_w_wl_data!P:P)</f>
        <v>7546125</v>
      </c>
      <c r="Q6" t="str">
        <f>_xlfn.XLOOKUP($A6,Bores_w_wl_data!$A:$A,Bores_w_wl_data!Q:Q)</f>
        <v>GPS</v>
      </c>
      <c r="R6" t="str">
        <f>_xlfn.XLOOKUP($A6,Bores_w_wl_data!$A:$A,Bores_w_wl_data!R:R)</f>
        <v>https://ntg.aquaticinformatics.net/AQWebportal/Data/Location/Summary/Location/RN012594/Interval/Latest</v>
      </c>
    </row>
    <row r="7" spans="1:18" x14ac:dyDescent="0.25">
      <c r="A7" t="s">
        <v>111</v>
      </c>
      <c r="B7" t="str">
        <f>_xlfn.XLOOKUP($A7,Bores_w_wl_data!$A:$A,Bores_w_wl_data!B:B)</f>
        <v>Pine Hill Station</v>
      </c>
      <c r="C7" t="str">
        <f>_xlfn.XLOOKUP($A7,Bores_w_wl_data!$A:$A,Bores_w_wl_data!C:C)</f>
        <v>http://www.ntlis.nt.gov.au/hpa-services/borereport?bore=RN013931</v>
      </c>
      <c r="D7">
        <f>_xlfn.XLOOKUP($A7,Bores_w_wl_data!$A:$A,Bores_w_wl_data!D:D)</f>
        <v>10</v>
      </c>
      <c r="E7">
        <f>_xlfn.XLOOKUP($A7,Bores_w_wl_data!$A:$A,Bores_w_wl_data!E:E)</f>
        <v>0</v>
      </c>
      <c r="F7">
        <f>_xlfn.XLOOKUP($A7,Bores_w_wl_data!$A:$A,Bores_w_wl_data!F:F)</f>
        <v>90</v>
      </c>
      <c r="G7">
        <f>_xlfn.XLOOKUP($A7,Bores_w_wl_data!$A:$A,Bores_w_wl_data!G:G)</f>
        <v>0</v>
      </c>
      <c r="H7">
        <f>_xlfn.XLOOKUP($A7,Bores_w_wl_data!$A:$A,Bores_w_wl_data!H:H)</f>
        <v>0</v>
      </c>
      <c r="I7" t="str">
        <f>_xlfn.XLOOKUP($A7,Bores_w_wl_data!$A:$A,Bores_w_wl_data!I:I)</f>
        <v>Monitoring</v>
      </c>
      <c r="J7" t="str">
        <f>_xlfn.XLOOKUP($A7,Bores_w_wl_data!$A:$A,Bores_w_wl_data!J:J)</f>
        <v>Constructed&amp;Capped</v>
      </c>
      <c r="K7" t="str">
        <f>_xlfn.XLOOKUP($A7,Bores_w_wl_data!$A:$A,Bores_w_wl_data!K:K)</f>
        <v>Current</v>
      </c>
      <c r="L7">
        <f>_xlfn.XLOOKUP($A7,Bores_w_wl_data!$A:$A,Bores_w_wl_data!L:L)</f>
        <v>-22.368417999999998</v>
      </c>
      <c r="M7">
        <f>_xlfn.XLOOKUP($A7,Bores_w_wl_data!$A:$A,Bores_w_wl_data!M:M)</f>
        <v>133.59569999999999</v>
      </c>
      <c r="N7">
        <f>_xlfn.XLOOKUP($A7,Bores_w_wl_data!$A:$A,Bores_w_wl_data!N:N)</f>
        <v>53</v>
      </c>
      <c r="O7">
        <f>_xlfn.XLOOKUP($A7,Bores_w_wl_data!$A:$A,Bores_w_wl_data!O:O)</f>
        <v>355414</v>
      </c>
      <c r="P7">
        <f>_xlfn.XLOOKUP($A7,Bores_w_wl_data!$A:$A,Bores_w_wl_data!P:P)</f>
        <v>7525719</v>
      </c>
      <c r="Q7" t="str">
        <f>_xlfn.XLOOKUP($A7,Bores_w_wl_data!$A:$A,Bores_w_wl_data!Q:Q)</f>
        <v>GPS</v>
      </c>
      <c r="R7" t="str">
        <f>_xlfn.XLOOKUP($A7,Bores_w_wl_data!$A:$A,Bores_w_wl_data!R:R)</f>
        <v>https://ntg.aquaticinformatics.net/AQWebportal/Data/Location/Summary/Location/RN013931/Interval/Latest</v>
      </c>
    </row>
    <row r="8" spans="1:18" x14ac:dyDescent="0.25">
      <c r="A8" t="s">
        <v>79</v>
      </c>
      <c r="B8" t="str">
        <f>_xlfn.XLOOKUP($A8,Bores_w_wl_data!$A:$A,Bores_w_wl_data!B:B)</f>
        <v>Monitoring Bore Territory Grape Farm</v>
      </c>
      <c r="C8" t="str">
        <f>_xlfn.XLOOKUP($A8,Bores_w_wl_data!$A:$A,Bores_w_wl_data!C:C)</f>
        <v>http://www.ntlis.nt.gov.au/hpa-services/borereport?bore=RN014409</v>
      </c>
      <c r="D8">
        <f>_xlfn.XLOOKUP($A8,Bores_w_wl_data!$A:$A,Bores_w_wl_data!D:D)</f>
        <v>7</v>
      </c>
      <c r="E8">
        <f>_xlfn.XLOOKUP($A8,Bores_w_wl_data!$A:$A,Bores_w_wl_data!E:E)</f>
        <v>0</v>
      </c>
      <c r="F8">
        <f>_xlfn.XLOOKUP($A8,Bores_w_wl_data!$A:$A,Bores_w_wl_data!F:F)</f>
        <v>69</v>
      </c>
      <c r="G8">
        <f>_xlfn.XLOOKUP($A8,Bores_w_wl_data!$A:$A,Bores_w_wl_data!G:G)</f>
        <v>65</v>
      </c>
      <c r="H8">
        <f>_xlfn.XLOOKUP($A8,Bores_w_wl_data!$A:$A,Bores_w_wl_data!H:H)</f>
        <v>16.399999999999999</v>
      </c>
      <c r="I8" t="str">
        <f>_xlfn.XLOOKUP($A8,Bores_w_wl_data!$A:$A,Bores_w_wl_data!I:I)</f>
        <v>Monitoring</v>
      </c>
      <c r="J8" t="str">
        <f>_xlfn.XLOOKUP($A8,Bores_w_wl_data!$A:$A,Bores_w_wl_data!J:J)</f>
        <v>Constructed&amp;Capped</v>
      </c>
      <c r="K8" t="str">
        <f>_xlfn.XLOOKUP($A8,Bores_w_wl_data!$A:$A,Bores_w_wl_data!K:K)</f>
        <v>Current</v>
      </c>
      <c r="L8">
        <f>_xlfn.XLOOKUP($A8,Bores_w_wl_data!$A:$A,Bores_w_wl_data!L:L)</f>
        <v>-22.449311000000002</v>
      </c>
      <c r="M8">
        <f>_xlfn.XLOOKUP($A8,Bores_w_wl_data!$A:$A,Bores_w_wl_data!M:M)</f>
        <v>133.659504</v>
      </c>
      <c r="N8">
        <f>_xlfn.XLOOKUP($A8,Bores_w_wl_data!$A:$A,Bores_w_wl_data!N:N)</f>
        <v>53</v>
      </c>
      <c r="O8">
        <f>_xlfn.XLOOKUP($A8,Bores_w_wl_data!$A:$A,Bores_w_wl_data!O:O)</f>
        <v>362064</v>
      </c>
      <c r="P8">
        <f>_xlfn.XLOOKUP($A8,Bores_w_wl_data!$A:$A,Bores_w_wl_data!P:P)</f>
        <v>7516823</v>
      </c>
      <c r="Q8" t="str">
        <f>_xlfn.XLOOKUP($A8,Bores_w_wl_data!$A:$A,Bores_w_wl_data!Q:Q)</f>
        <v>GPS</v>
      </c>
      <c r="R8" t="str">
        <f>_xlfn.XLOOKUP($A8,Bores_w_wl_data!$A:$A,Bores_w_wl_data!R:R)</f>
        <v>https://ntg.aquaticinformatics.net/AQWebportal/Data/Location/Summary/Location/RN014409/Interval/Latest</v>
      </c>
    </row>
    <row r="9" spans="1:18" x14ac:dyDescent="0.25">
      <c r="A9" t="s">
        <v>43</v>
      </c>
      <c r="B9" t="str">
        <f>_xlfn.XLOOKUP($A9,Bores_w_wl_data!$A:$A,Bores_w_wl_data!B:B)</f>
        <v>Ti Tree Area</v>
      </c>
      <c r="C9" t="str">
        <f>_xlfn.XLOOKUP($A9,Bores_w_wl_data!$A:$A,Bores_w_wl_data!C:C)</f>
        <v>http://www.ntlis.nt.gov.au/hpa-services/borereport?bore=RN016680</v>
      </c>
      <c r="D9">
        <f>_xlfn.XLOOKUP($A9,Bores_w_wl_data!$A:$A,Bores_w_wl_data!D:D)</f>
        <v>10</v>
      </c>
      <c r="E9">
        <f>_xlfn.XLOOKUP($A9,Bores_w_wl_data!$A:$A,Bores_w_wl_data!E:E)</f>
        <v>0</v>
      </c>
      <c r="F9">
        <f>_xlfn.XLOOKUP($A9,Bores_w_wl_data!$A:$A,Bores_w_wl_data!F:F)</f>
        <v>77.5</v>
      </c>
      <c r="G9">
        <f>_xlfn.XLOOKUP($A9,Bores_w_wl_data!$A:$A,Bores_w_wl_data!G:G)</f>
        <v>77.5</v>
      </c>
      <c r="H9">
        <f>_xlfn.XLOOKUP($A9,Bores_w_wl_data!$A:$A,Bores_w_wl_data!H:H)</f>
        <v>0</v>
      </c>
      <c r="I9" t="str">
        <f>_xlfn.XLOOKUP($A9,Bores_w_wl_data!$A:$A,Bores_w_wl_data!I:I)</f>
        <v>Monitoring</v>
      </c>
      <c r="J9" t="str">
        <f>_xlfn.XLOOKUP($A9,Bores_w_wl_data!$A:$A,Bores_w_wl_data!J:J)</f>
        <v>Constructed&amp;Capped</v>
      </c>
      <c r="K9" t="str">
        <f>_xlfn.XLOOKUP($A9,Bores_w_wl_data!$A:$A,Bores_w_wl_data!K:K)</f>
        <v>Current</v>
      </c>
      <c r="L9">
        <f>_xlfn.XLOOKUP($A9,Bores_w_wl_data!$A:$A,Bores_w_wl_data!L:L)</f>
        <v>-22.282081999999999</v>
      </c>
      <c r="M9">
        <f>_xlfn.XLOOKUP($A9,Bores_w_wl_data!$A:$A,Bores_w_wl_data!M:M)</f>
        <v>133.55789899999999</v>
      </c>
      <c r="N9">
        <f>_xlfn.XLOOKUP($A9,Bores_w_wl_data!$A:$A,Bores_w_wl_data!N:N)</f>
        <v>53</v>
      </c>
      <c r="O9">
        <f>_xlfn.XLOOKUP($A9,Bores_w_wl_data!$A:$A,Bores_w_wl_data!O:O)</f>
        <v>351430</v>
      </c>
      <c r="P9">
        <f>_xlfn.XLOOKUP($A9,Bores_w_wl_data!$A:$A,Bores_w_wl_data!P:P)</f>
        <v>7535241</v>
      </c>
      <c r="Q9" t="str">
        <f>_xlfn.XLOOKUP($A9,Bores_w_wl_data!$A:$A,Bores_w_wl_data!Q:Q)</f>
        <v>GPS</v>
      </c>
      <c r="R9" t="str">
        <f>_xlfn.XLOOKUP($A9,Bores_w_wl_data!$A:$A,Bores_w_wl_data!R:R)</f>
        <v>https://ntg.aquaticinformatics.net/AQWebportal/Data/Location/Summary/Location/RN016680/Interval/Latest</v>
      </c>
    </row>
    <row r="10" spans="1:18" x14ac:dyDescent="0.25">
      <c r="A10" t="s">
        <v>36</v>
      </c>
      <c r="B10" t="str">
        <f>_xlfn.XLOOKUP($A10,Bores_w_wl_data!$A:$A,Bores_w_wl_data!B:B)</f>
        <v>Ti Tree Area</v>
      </c>
      <c r="C10" t="str">
        <f>_xlfn.XLOOKUP($A10,Bores_w_wl_data!$A:$A,Bores_w_wl_data!C:C)</f>
        <v>http://www.ntlis.nt.gov.au/hpa-services/borereport?bore=RN016682</v>
      </c>
      <c r="D10">
        <f>_xlfn.XLOOKUP($A10,Bores_w_wl_data!$A:$A,Bores_w_wl_data!D:D)</f>
        <v>5</v>
      </c>
      <c r="E10">
        <f>_xlfn.XLOOKUP($A10,Bores_w_wl_data!$A:$A,Bores_w_wl_data!E:E)</f>
        <v>0</v>
      </c>
      <c r="F10">
        <f>_xlfn.XLOOKUP($A10,Bores_w_wl_data!$A:$A,Bores_w_wl_data!F:F)</f>
        <v>59.5</v>
      </c>
      <c r="G10">
        <f>_xlfn.XLOOKUP($A10,Bores_w_wl_data!$A:$A,Bores_w_wl_data!G:G)</f>
        <v>53.9</v>
      </c>
      <c r="H10">
        <f>_xlfn.XLOOKUP($A10,Bores_w_wl_data!$A:$A,Bores_w_wl_data!H:H)</f>
        <v>36.39</v>
      </c>
      <c r="I10" t="str">
        <f>_xlfn.XLOOKUP($A10,Bores_w_wl_data!$A:$A,Bores_w_wl_data!I:I)</f>
        <v>Monitoring</v>
      </c>
      <c r="J10" t="str">
        <f>_xlfn.XLOOKUP($A10,Bores_w_wl_data!$A:$A,Bores_w_wl_data!J:J)</f>
        <v>Constructed&amp;Capped</v>
      </c>
      <c r="K10" t="str">
        <f>_xlfn.XLOOKUP($A10,Bores_w_wl_data!$A:$A,Bores_w_wl_data!K:K)</f>
        <v>Current</v>
      </c>
      <c r="L10">
        <f>_xlfn.XLOOKUP($A10,Bores_w_wl_data!$A:$A,Bores_w_wl_data!L:L)</f>
        <v>-22.282050999999999</v>
      </c>
      <c r="M10">
        <f>_xlfn.XLOOKUP($A10,Bores_w_wl_data!$A:$A,Bores_w_wl_data!M:M)</f>
        <v>133.319076</v>
      </c>
      <c r="N10">
        <f>_xlfn.XLOOKUP($A10,Bores_w_wl_data!$A:$A,Bores_w_wl_data!N:N)</f>
        <v>53</v>
      </c>
      <c r="O10">
        <f>_xlfn.XLOOKUP($A10,Bores_w_wl_data!$A:$A,Bores_w_wl_data!O:O)</f>
        <v>326821</v>
      </c>
      <c r="P10">
        <f>_xlfn.XLOOKUP($A10,Bores_w_wl_data!$A:$A,Bores_w_wl_data!P:P)</f>
        <v>7534990</v>
      </c>
      <c r="Q10" t="str">
        <f>_xlfn.XLOOKUP($A10,Bores_w_wl_data!$A:$A,Bores_w_wl_data!Q:Q)</f>
        <v>GPS</v>
      </c>
      <c r="R10" t="str">
        <f>_xlfn.XLOOKUP($A10,Bores_w_wl_data!$A:$A,Bores_w_wl_data!R:R)</f>
        <v>https://ntg.aquaticinformatics.net/AQWebportal/Data/Location/Summary/Location/RN016682/Interval/Latest</v>
      </c>
    </row>
    <row r="11" spans="1:18" x14ac:dyDescent="0.25">
      <c r="A11" t="s">
        <v>52</v>
      </c>
      <c r="B11" t="str">
        <f>_xlfn.XLOOKUP($A11,Bores_w_wl_data!$A:$A,Bores_w_wl_data!B:B)</f>
        <v>Ti Tree Area</v>
      </c>
      <c r="C11" t="str">
        <f>_xlfn.XLOOKUP($A11,Bores_w_wl_data!$A:$A,Bores_w_wl_data!C:C)</f>
        <v>http://www.ntlis.nt.gov.au/hpa-services/borereport?bore=RN016684</v>
      </c>
      <c r="D11">
        <f>_xlfn.XLOOKUP($A11,Bores_w_wl_data!$A:$A,Bores_w_wl_data!D:D)</f>
        <v>0.2</v>
      </c>
      <c r="E11">
        <f>_xlfn.XLOOKUP($A11,Bores_w_wl_data!$A:$A,Bores_w_wl_data!E:E)</f>
        <v>0</v>
      </c>
      <c r="F11">
        <f>_xlfn.XLOOKUP($A11,Bores_w_wl_data!$A:$A,Bores_w_wl_data!F:F)</f>
        <v>106.6</v>
      </c>
      <c r="G11">
        <f>_xlfn.XLOOKUP($A11,Bores_w_wl_data!$A:$A,Bores_w_wl_data!G:G)</f>
        <v>106.2</v>
      </c>
      <c r="H11">
        <f>_xlfn.XLOOKUP($A11,Bores_w_wl_data!$A:$A,Bores_w_wl_data!H:H)</f>
        <v>0</v>
      </c>
      <c r="I11" t="str">
        <f>_xlfn.XLOOKUP($A11,Bores_w_wl_data!$A:$A,Bores_w_wl_data!I:I)</f>
        <v>Monitoring</v>
      </c>
      <c r="J11" t="str">
        <f>_xlfn.XLOOKUP($A11,Bores_w_wl_data!$A:$A,Bores_w_wl_data!J:J)</f>
        <v>Constructed&amp;Capped</v>
      </c>
      <c r="K11" t="str">
        <f>_xlfn.XLOOKUP($A11,Bores_w_wl_data!$A:$A,Bores_w_wl_data!K:K)</f>
        <v>Current</v>
      </c>
      <c r="L11">
        <f>_xlfn.XLOOKUP($A11,Bores_w_wl_data!$A:$A,Bores_w_wl_data!L:L)</f>
        <v>-22.282062</v>
      </c>
      <c r="M11">
        <f>_xlfn.XLOOKUP($A11,Bores_w_wl_data!$A:$A,Bores_w_wl_data!M:M)</f>
        <v>133.24918700000001</v>
      </c>
      <c r="N11">
        <f>_xlfn.XLOOKUP($A11,Bores_w_wl_data!$A:$A,Bores_w_wl_data!N:N)</f>
        <v>53</v>
      </c>
      <c r="O11">
        <f>_xlfn.XLOOKUP($A11,Bores_w_wl_data!$A:$A,Bores_w_wl_data!O:O)</f>
        <v>319619</v>
      </c>
      <c r="P11">
        <f>_xlfn.XLOOKUP($A11,Bores_w_wl_data!$A:$A,Bores_w_wl_data!P:P)</f>
        <v>7534907</v>
      </c>
      <c r="Q11" t="str">
        <f>_xlfn.XLOOKUP($A11,Bores_w_wl_data!$A:$A,Bores_w_wl_data!Q:Q)</f>
        <v>GPS</v>
      </c>
      <c r="R11" t="str">
        <f>_xlfn.XLOOKUP($A11,Bores_w_wl_data!$A:$A,Bores_w_wl_data!R:R)</f>
        <v>https://ntg.aquaticinformatics.net/AQWebportal/Data/Location/Summary/Location/RN016684/Interval/Latest</v>
      </c>
    </row>
    <row r="12" spans="1:18" x14ac:dyDescent="0.25">
      <c r="A12" t="s">
        <v>18</v>
      </c>
      <c r="B12" t="str">
        <f>_xlfn.XLOOKUP($A12,Bores_w_wl_data!$A:$A,Bores_w_wl_data!B:B)</f>
        <v>Ti Tree Monitoring Bore</v>
      </c>
      <c r="C12" t="str">
        <f>_xlfn.XLOOKUP($A12,Bores_w_wl_data!$A:$A,Bores_w_wl_data!C:C)</f>
        <v>http://www.ntlis.nt.gov.au/hpa-services/borereport?bore=RN016704</v>
      </c>
      <c r="D12">
        <f>_xlfn.XLOOKUP($A12,Bores_w_wl_data!$A:$A,Bores_w_wl_data!D:D)</f>
        <v>10</v>
      </c>
      <c r="E12">
        <f>_xlfn.XLOOKUP($A12,Bores_w_wl_data!$A:$A,Bores_w_wl_data!E:E)</f>
        <v>0</v>
      </c>
      <c r="F12">
        <f>_xlfn.XLOOKUP($A12,Bores_w_wl_data!$A:$A,Bores_w_wl_data!F:F)</f>
        <v>59.5</v>
      </c>
      <c r="G12">
        <f>_xlfn.XLOOKUP($A12,Bores_w_wl_data!$A:$A,Bores_w_wl_data!G:G)</f>
        <v>59.4</v>
      </c>
      <c r="H12">
        <f>_xlfn.XLOOKUP($A12,Bores_w_wl_data!$A:$A,Bores_w_wl_data!H:H)</f>
        <v>26.9</v>
      </c>
      <c r="I12" t="str">
        <f>_xlfn.XLOOKUP($A12,Bores_w_wl_data!$A:$A,Bores_w_wl_data!I:I)</f>
        <v>Monitoring</v>
      </c>
      <c r="J12" t="str">
        <f>_xlfn.XLOOKUP($A12,Bores_w_wl_data!$A:$A,Bores_w_wl_data!J:J)</f>
        <v>Constructed&amp;Capped</v>
      </c>
      <c r="K12" t="str">
        <f>_xlfn.XLOOKUP($A12,Bores_w_wl_data!$A:$A,Bores_w_wl_data!K:K)</f>
        <v>Current</v>
      </c>
      <c r="L12">
        <f>_xlfn.XLOOKUP($A12,Bores_w_wl_data!$A:$A,Bores_w_wl_data!L:L)</f>
        <v>-22.241662999999999</v>
      </c>
      <c r="M12">
        <f>_xlfn.XLOOKUP($A12,Bores_w_wl_data!$A:$A,Bores_w_wl_data!M:M)</f>
        <v>133.42460800000001</v>
      </c>
      <c r="N12">
        <f>_xlfn.XLOOKUP($A12,Bores_w_wl_data!$A:$A,Bores_w_wl_data!N:N)</f>
        <v>53</v>
      </c>
      <c r="O12">
        <f>_xlfn.XLOOKUP($A12,Bores_w_wl_data!$A:$A,Bores_w_wl_data!O:O)</f>
        <v>337649</v>
      </c>
      <c r="P12">
        <f>_xlfn.XLOOKUP($A12,Bores_w_wl_data!$A:$A,Bores_w_wl_data!P:P)</f>
        <v>7539579</v>
      </c>
      <c r="Q12" t="str">
        <f>_xlfn.XLOOKUP($A12,Bores_w_wl_data!$A:$A,Bores_w_wl_data!Q:Q)</f>
        <v>GPS</v>
      </c>
      <c r="R12" t="str">
        <f>_xlfn.XLOOKUP($A12,Bores_w_wl_data!$A:$A,Bores_w_wl_data!R:R)</f>
        <v>https://ntg.aquaticinformatics.net/AQWebportal/Data/Location/Summary/Location/RN016704/Interval/Latest</v>
      </c>
    </row>
    <row r="13" spans="1:18" x14ac:dyDescent="0.25">
      <c r="A13" t="s">
        <v>117</v>
      </c>
      <c r="B13" t="str">
        <f>_xlfn.XLOOKUP($A13,Bores_w_wl_data!$A:$A,Bores_w_wl_data!B:B)</f>
        <v>Monitoring Bore Ahakeye Land Trust</v>
      </c>
      <c r="C13" t="str">
        <f>_xlfn.XLOOKUP($A13,Bores_w_wl_data!$A:$A,Bores_w_wl_data!C:C)</f>
        <v>http://www.ntlis.nt.gov.au/hpa-services/borereport?bore=RN017403</v>
      </c>
      <c r="D13">
        <f>_xlfn.XLOOKUP($A13,Bores_w_wl_data!$A:$A,Bores_w_wl_data!D:D)</f>
        <v>5</v>
      </c>
      <c r="E13">
        <f>_xlfn.XLOOKUP($A13,Bores_w_wl_data!$A:$A,Bores_w_wl_data!E:E)</f>
        <v>0</v>
      </c>
      <c r="F13">
        <f>_xlfn.XLOOKUP($A13,Bores_w_wl_data!$A:$A,Bores_w_wl_data!F:F)</f>
        <v>66.599999999999994</v>
      </c>
      <c r="G13">
        <f>_xlfn.XLOOKUP($A13,Bores_w_wl_data!$A:$A,Bores_w_wl_data!G:G)</f>
        <v>53.6</v>
      </c>
      <c r="H13">
        <f>_xlfn.XLOOKUP($A13,Bores_w_wl_data!$A:$A,Bores_w_wl_data!H:H)</f>
        <v>7.02</v>
      </c>
      <c r="I13" t="str">
        <f>_xlfn.XLOOKUP($A13,Bores_w_wl_data!$A:$A,Bores_w_wl_data!I:I)</f>
        <v>Monitoring</v>
      </c>
      <c r="J13" t="str">
        <f>_xlfn.XLOOKUP($A13,Bores_w_wl_data!$A:$A,Bores_w_wl_data!J:J)</f>
        <v>Constructed&amp;Capped</v>
      </c>
      <c r="K13" t="str">
        <f>_xlfn.XLOOKUP($A13,Bores_w_wl_data!$A:$A,Bores_w_wl_data!K:K)</f>
        <v>Current</v>
      </c>
      <c r="L13">
        <f>_xlfn.XLOOKUP($A13,Bores_w_wl_data!$A:$A,Bores_w_wl_data!L:L)</f>
        <v>-22.259063999999999</v>
      </c>
      <c r="M13">
        <f>_xlfn.XLOOKUP($A13,Bores_w_wl_data!$A:$A,Bores_w_wl_data!M:M)</f>
        <v>133.80572799999999</v>
      </c>
      <c r="N13">
        <f>_xlfn.XLOOKUP($A13,Bores_w_wl_data!$A:$A,Bores_w_wl_data!N:N)</f>
        <v>53</v>
      </c>
      <c r="O13">
        <f>_xlfn.XLOOKUP($A13,Bores_w_wl_data!$A:$A,Bores_w_wl_data!O:O)</f>
        <v>376945</v>
      </c>
      <c r="P13">
        <f>_xlfn.XLOOKUP($A13,Bores_w_wl_data!$A:$A,Bores_w_wl_data!P:P)</f>
        <v>7538012</v>
      </c>
      <c r="Q13" t="str">
        <f>_xlfn.XLOOKUP($A13,Bores_w_wl_data!$A:$A,Bores_w_wl_data!Q:Q)</f>
        <v>GPS</v>
      </c>
      <c r="R13" t="str">
        <f>_xlfn.XLOOKUP($A13,Bores_w_wl_data!$A:$A,Bores_w_wl_data!R:R)</f>
        <v>https://ntg.aquaticinformatics.net/AQWebportal/Data/Location/Summary/Location/RN017403/Interval/Latest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Bores_w_wl_data</vt:lpstr>
      <vt:lpstr>Bores_Plotted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 Irvine</cp:lastModifiedBy>
  <dcterms:created xsi:type="dcterms:W3CDTF">2025-07-18T02:08:05Z</dcterms:created>
  <dcterms:modified xsi:type="dcterms:W3CDTF">2025-07-18T02:26:58Z</dcterms:modified>
</cp:coreProperties>
</file>